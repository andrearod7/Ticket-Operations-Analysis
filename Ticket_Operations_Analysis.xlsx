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rea P\Desktop\Portafolio\"/>
    </mc:Choice>
  </mc:AlternateContent>
  <xr:revisionPtr revIDLastSave="0" documentId="13_ncr:1_{09DA58C0-0970-46F4-8CA2-DBD2C1C7666E}" xr6:coauthVersionLast="47" xr6:coauthVersionMax="47" xr10:uidLastSave="{00000000-0000-0000-0000-000000000000}"/>
  <bookViews>
    <workbookView xWindow="-110" yWindow="-110" windowWidth="19420" windowHeight="11500" tabRatio="877" activeTab="6" xr2:uid="{00000000-000D-0000-FFFF-FFFF00000000}"/>
  </bookViews>
  <sheets>
    <sheet name="Project Assumptions" sheetId="1" r:id="rId1"/>
    <sheet name="00_Raw_Data" sheetId="2" r:id="rId2"/>
    <sheet name="01_Data_Audit" sheetId="3" r:id="rId3"/>
    <sheet name="02_Prepared_Data" sheetId="4" r:id="rId4"/>
    <sheet name="03_Lookup" sheetId="5" r:id="rId5"/>
    <sheet name="04_Analysis" sheetId="6" r:id="rId6"/>
    <sheet name="05_Dashboard" sheetId="7" r:id="rId7"/>
  </sheets>
  <definedNames>
    <definedName name="_xlnm._FilterDatabase" localSheetId="3" hidden="1">'02_Prepared_Data'!$C$3:$C$402</definedName>
  </definedNames>
  <calcPr calcId="191029"/>
  <pivotCaches>
    <pivotCache cacheId="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5" i="6"/>
  <c r="W10" i="7"/>
  <c r="Q10" i="7"/>
  <c r="L402" i="4"/>
  <c r="K402" i="4"/>
  <c r="J402" i="4"/>
  <c r="I402" i="4"/>
  <c r="L401" i="4"/>
  <c r="K401" i="4"/>
  <c r="J401" i="4"/>
  <c r="I401" i="4"/>
  <c r="L400" i="4"/>
  <c r="K400" i="4"/>
  <c r="J400" i="4"/>
  <c r="I400" i="4"/>
  <c r="L399" i="4"/>
  <c r="K399" i="4"/>
  <c r="J399" i="4"/>
  <c r="I399" i="4"/>
  <c r="L398" i="4"/>
  <c r="K398" i="4"/>
  <c r="J398" i="4"/>
  <c r="I398" i="4"/>
  <c r="L397" i="4"/>
  <c r="K397" i="4"/>
  <c r="J397" i="4"/>
  <c r="I397" i="4"/>
  <c r="L396" i="4"/>
  <c r="K396" i="4"/>
  <c r="J396" i="4"/>
  <c r="I396" i="4"/>
  <c r="L395" i="4"/>
  <c r="K395" i="4"/>
  <c r="J395" i="4"/>
  <c r="I395" i="4"/>
  <c r="L394" i="4"/>
  <c r="K394" i="4"/>
  <c r="J394" i="4"/>
  <c r="I394" i="4"/>
  <c r="L393" i="4"/>
  <c r="K393" i="4"/>
  <c r="J393" i="4"/>
  <c r="I393" i="4"/>
  <c r="L392" i="4"/>
  <c r="K392" i="4"/>
  <c r="J392" i="4"/>
  <c r="I392" i="4"/>
  <c r="L391" i="4"/>
  <c r="K391" i="4"/>
  <c r="J391" i="4"/>
  <c r="I391" i="4"/>
  <c r="L390" i="4"/>
  <c r="K390" i="4"/>
  <c r="J390" i="4"/>
  <c r="I390" i="4"/>
  <c r="L389" i="4"/>
  <c r="K389" i="4"/>
  <c r="J389" i="4"/>
  <c r="I389" i="4"/>
  <c r="L388" i="4"/>
  <c r="K388" i="4"/>
  <c r="J388" i="4"/>
  <c r="I388" i="4"/>
  <c r="L387" i="4"/>
  <c r="K387" i="4"/>
  <c r="J387" i="4"/>
  <c r="I387" i="4"/>
  <c r="L386" i="4"/>
  <c r="K386" i="4"/>
  <c r="J386" i="4"/>
  <c r="I386" i="4"/>
  <c r="L385" i="4"/>
  <c r="K385" i="4"/>
  <c r="J385" i="4"/>
  <c r="I385" i="4"/>
  <c r="L384" i="4"/>
  <c r="K384" i="4"/>
  <c r="J384" i="4"/>
  <c r="I384" i="4"/>
  <c r="L383" i="4"/>
  <c r="K383" i="4"/>
  <c r="J383" i="4"/>
  <c r="I383" i="4"/>
  <c r="L382" i="4"/>
  <c r="K382" i="4"/>
  <c r="J382" i="4"/>
  <c r="I382" i="4"/>
  <c r="L381" i="4"/>
  <c r="K381" i="4"/>
  <c r="J381" i="4"/>
  <c r="I381" i="4"/>
  <c r="L380" i="4"/>
  <c r="K380" i="4"/>
  <c r="J380" i="4"/>
  <c r="I380" i="4"/>
  <c r="L379" i="4"/>
  <c r="K379" i="4"/>
  <c r="J379" i="4"/>
  <c r="I379" i="4"/>
  <c r="L378" i="4"/>
  <c r="K378" i="4"/>
  <c r="J378" i="4"/>
  <c r="I378" i="4"/>
  <c r="L377" i="4"/>
  <c r="K377" i="4"/>
  <c r="J377" i="4"/>
  <c r="I377" i="4"/>
  <c r="L376" i="4"/>
  <c r="K376" i="4"/>
  <c r="J376" i="4"/>
  <c r="I376" i="4"/>
  <c r="L375" i="4"/>
  <c r="K375" i="4"/>
  <c r="J375" i="4"/>
  <c r="I375" i="4"/>
  <c r="L374" i="4"/>
  <c r="K374" i="4"/>
  <c r="J374" i="4"/>
  <c r="I374" i="4"/>
  <c r="L373" i="4"/>
  <c r="K373" i="4"/>
  <c r="J373" i="4"/>
  <c r="I373" i="4"/>
  <c r="L372" i="4"/>
  <c r="K372" i="4"/>
  <c r="J372" i="4"/>
  <c r="I372" i="4"/>
  <c r="L371" i="4"/>
  <c r="K371" i="4"/>
  <c r="J371" i="4"/>
  <c r="I371" i="4"/>
  <c r="L370" i="4"/>
  <c r="K370" i="4"/>
  <c r="J370" i="4"/>
  <c r="I370" i="4"/>
  <c r="L369" i="4"/>
  <c r="K369" i="4"/>
  <c r="J369" i="4"/>
  <c r="I369" i="4"/>
  <c r="L368" i="4"/>
  <c r="K368" i="4"/>
  <c r="J368" i="4"/>
  <c r="I368" i="4"/>
  <c r="L367" i="4"/>
  <c r="K367" i="4"/>
  <c r="J367" i="4"/>
  <c r="I367" i="4"/>
  <c r="L366" i="4"/>
  <c r="K366" i="4"/>
  <c r="J366" i="4"/>
  <c r="I366" i="4"/>
  <c r="L365" i="4"/>
  <c r="K365" i="4"/>
  <c r="J365" i="4"/>
  <c r="I365" i="4"/>
  <c r="L364" i="4"/>
  <c r="K364" i="4"/>
  <c r="J364" i="4"/>
  <c r="I364" i="4"/>
  <c r="L363" i="4"/>
  <c r="K363" i="4"/>
  <c r="J363" i="4"/>
  <c r="I363" i="4"/>
  <c r="L362" i="4"/>
  <c r="K362" i="4"/>
  <c r="J362" i="4"/>
  <c r="I362" i="4"/>
  <c r="L361" i="4"/>
  <c r="K361" i="4"/>
  <c r="J361" i="4"/>
  <c r="I361" i="4"/>
  <c r="L360" i="4"/>
  <c r="K360" i="4"/>
  <c r="J360" i="4"/>
  <c r="I360" i="4"/>
  <c r="L359" i="4"/>
  <c r="K359" i="4"/>
  <c r="J359" i="4"/>
  <c r="I359" i="4"/>
  <c r="L358" i="4"/>
  <c r="K358" i="4"/>
  <c r="J358" i="4"/>
  <c r="I358" i="4"/>
  <c r="L357" i="4"/>
  <c r="K357" i="4"/>
  <c r="J357" i="4"/>
  <c r="I357" i="4"/>
  <c r="L356" i="4"/>
  <c r="K356" i="4"/>
  <c r="J356" i="4"/>
  <c r="I356" i="4"/>
  <c r="L355" i="4"/>
  <c r="K355" i="4"/>
  <c r="J355" i="4"/>
  <c r="I355" i="4"/>
  <c r="L354" i="4"/>
  <c r="K354" i="4"/>
  <c r="J354" i="4"/>
  <c r="I354" i="4"/>
  <c r="L353" i="4"/>
  <c r="K353" i="4"/>
  <c r="J353" i="4"/>
  <c r="I353" i="4"/>
  <c r="L352" i="4"/>
  <c r="K352" i="4"/>
  <c r="J352" i="4"/>
  <c r="I352" i="4"/>
  <c r="L351" i="4"/>
  <c r="K351" i="4"/>
  <c r="J351" i="4"/>
  <c r="I351" i="4"/>
  <c r="L350" i="4"/>
  <c r="K350" i="4"/>
  <c r="J350" i="4"/>
  <c r="I350" i="4"/>
  <c r="L349" i="4"/>
  <c r="K349" i="4"/>
  <c r="J349" i="4"/>
  <c r="I349" i="4"/>
  <c r="L348" i="4"/>
  <c r="K348" i="4"/>
  <c r="J348" i="4"/>
  <c r="I348" i="4"/>
  <c r="L347" i="4"/>
  <c r="K347" i="4"/>
  <c r="J347" i="4"/>
  <c r="I347" i="4"/>
  <c r="L346" i="4"/>
  <c r="K346" i="4"/>
  <c r="J346" i="4"/>
  <c r="I346" i="4"/>
  <c r="L345" i="4"/>
  <c r="K345" i="4"/>
  <c r="J345" i="4"/>
  <c r="I345" i="4"/>
  <c r="L344" i="4"/>
  <c r="K344" i="4"/>
  <c r="J344" i="4"/>
  <c r="I344" i="4"/>
  <c r="L343" i="4"/>
  <c r="K343" i="4"/>
  <c r="J343" i="4"/>
  <c r="I343" i="4"/>
  <c r="L342" i="4"/>
  <c r="K342" i="4"/>
  <c r="J342" i="4"/>
  <c r="I342" i="4"/>
  <c r="L341" i="4"/>
  <c r="K341" i="4"/>
  <c r="J341" i="4"/>
  <c r="I341" i="4"/>
  <c r="L340" i="4"/>
  <c r="K340" i="4"/>
  <c r="J340" i="4"/>
  <c r="I340" i="4"/>
  <c r="L339" i="4"/>
  <c r="K339" i="4"/>
  <c r="J339" i="4"/>
  <c r="I339" i="4"/>
  <c r="L338" i="4"/>
  <c r="K338" i="4"/>
  <c r="J338" i="4"/>
  <c r="I338" i="4"/>
  <c r="L337" i="4"/>
  <c r="K337" i="4"/>
  <c r="J337" i="4"/>
  <c r="I337" i="4"/>
  <c r="L336" i="4"/>
  <c r="K336" i="4"/>
  <c r="J336" i="4"/>
  <c r="I336" i="4"/>
  <c r="L335" i="4"/>
  <c r="K335" i="4"/>
  <c r="J335" i="4"/>
  <c r="I335" i="4"/>
  <c r="L334" i="4"/>
  <c r="K334" i="4"/>
  <c r="J334" i="4"/>
  <c r="I334" i="4"/>
  <c r="L333" i="4"/>
  <c r="K333" i="4"/>
  <c r="J333" i="4"/>
  <c r="I333" i="4"/>
  <c r="L332" i="4"/>
  <c r="K332" i="4"/>
  <c r="J332" i="4"/>
  <c r="I332" i="4"/>
  <c r="L331" i="4"/>
  <c r="K331" i="4"/>
  <c r="J331" i="4"/>
  <c r="I331" i="4"/>
  <c r="L330" i="4"/>
  <c r="K330" i="4"/>
  <c r="J330" i="4"/>
  <c r="I330" i="4"/>
  <c r="L329" i="4"/>
  <c r="K329" i="4"/>
  <c r="J329" i="4"/>
  <c r="I329" i="4"/>
  <c r="L328" i="4"/>
  <c r="K328" i="4"/>
  <c r="J328" i="4"/>
  <c r="I328" i="4"/>
  <c r="L327" i="4"/>
  <c r="K327" i="4"/>
  <c r="J327" i="4"/>
  <c r="I327" i="4"/>
  <c r="L326" i="4"/>
  <c r="K326" i="4"/>
  <c r="J326" i="4"/>
  <c r="I326" i="4"/>
  <c r="L325" i="4"/>
  <c r="K325" i="4"/>
  <c r="J325" i="4"/>
  <c r="I325" i="4"/>
  <c r="L324" i="4"/>
  <c r="K324" i="4"/>
  <c r="J324" i="4"/>
  <c r="I324" i="4"/>
  <c r="L323" i="4"/>
  <c r="K323" i="4"/>
  <c r="J323" i="4"/>
  <c r="I323" i="4"/>
  <c r="L322" i="4"/>
  <c r="K322" i="4"/>
  <c r="J322" i="4"/>
  <c r="I322" i="4"/>
  <c r="L321" i="4"/>
  <c r="K321" i="4"/>
  <c r="J321" i="4"/>
  <c r="I321" i="4"/>
  <c r="L320" i="4"/>
  <c r="K320" i="4"/>
  <c r="J320" i="4"/>
  <c r="I320" i="4"/>
  <c r="L319" i="4"/>
  <c r="K319" i="4"/>
  <c r="J319" i="4"/>
  <c r="I319" i="4"/>
  <c r="L318" i="4"/>
  <c r="K318" i="4"/>
  <c r="J318" i="4"/>
  <c r="I318" i="4"/>
  <c r="L317" i="4"/>
  <c r="K317" i="4"/>
  <c r="J317" i="4"/>
  <c r="I317" i="4"/>
  <c r="L316" i="4"/>
  <c r="K316" i="4"/>
  <c r="J316" i="4"/>
  <c r="I316" i="4"/>
  <c r="L315" i="4"/>
  <c r="K315" i="4"/>
  <c r="J315" i="4"/>
  <c r="I315" i="4"/>
  <c r="L314" i="4"/>
  <c r="K314" i="4"/>
  <c r="J314" i="4"/>
  <c r="I314" i="4"/>
  <c r="L313" i="4"/>
  <c r="K313" i="4"/>
  <c r="J313" i="4"/>
  <c r="I313" i="4"/>
  <c r="L312" i="4"/>
  <c r="K312" i="4"/>
  <c r="J312" i="4"/>
  <c r="I312" i="4"/>
  <c r="L311" i="4"/>
  <c r="K311" i="4"/>
  <c r="J311" i="4"/>
  <c r="I311" i="4"/>
  <c r="L310" i="4"/>
  <c r="K310" i="4"/>
  <c r="J310" i="4"/>
  <c r="I310" i="4"/>
  <c r="L309" i="4"/>
  <c r="K309" i="4"/>
  <c r="J309" i="4"/>
  <c r="I309" i="4"/>
  <c r="L308" i="4"/>
  <c r="K308" i="4"/>
  <c r="J308" i="4"/>
  <c r="I308" i="4"/>
  <c r="L307" i="4"/>
  <c r="K307" i="4"/>
  <c r="J307" i="4"/>
  <c r="I307" i="4"/>
  <c r="L306" i="4"/>
  <c r="K306" i="4"/>
  <c r="J306" i="4"/>
  <c r="I306" i="4"/>
  <c r="L305" i="4"/>
  <c r="K305" i="4"/>
  <c r="J305" i="4"/>
  <c r="I305" i="4"/>
  <c r="L304" i="4"/>
  <c r="K304" i="4"/>
  <c r="J304" i="4"/>
  <c r="I304" i="4"/>
  <c r="L303" i="4"/>
  <c r="K303" i="4"/>
  <c r="J303" i="4"/>
  <c r="I303" i="4"/>
  <c r="L302" i="4"/>
  <c r="K302" i="4"/>
  <c r="J302" i="4"/>
  <c r="I302" i="4"/>
  <c r="L301" i="4"/>
  <c r="K301" i="4"/>
  <c r="J301" i="4"/>
  <c r="I301" i="4"/>
  <c r="L300" i="4"/>
  <c r="K300" i="4"/>
  <c r="J300" i="4"/>
  <c r="I300" i="4"/>
  <c r="L299" i="4"/>
  <c r="K299" i="4"/>
  <c r="J299" i="4"/>
  <c r="I299" i="4"/>
  <c r="L298" i="4"/>
  <c r="K298" i="4"/>
  <c r="J298" i="4"/>
  <c r="I298" i="4"/>
  <c r="L297" i="4"/>
  <c r="K297" i="4"/>
  <c r="J297" i="4"/>
  <c r="I297" i="4"/>
  <c r="L296" i="4"/>
  <c r="K296" i="4"/>
  <c r="J296" i="4"/>
  <c r="I296" i="4"/>
  <c r="L295" i="4"/>
  <c r="K295" i="4"/>
  <c r="J295" i="4"/>
  <c r="I295" i="4"/>
  <c r="L294" i="4"/>
  <c r="K294" i="4"/>
  <c r="J294" i="4"/>
  <c r="I294" i="4"/>
  <c r="L293" i="4"/>
  <c r="K293" i="4"/>
  <c r="J293" i="4"/>
  <c r="I293" i="4"/>
  <c r="L292" i="4"/>
  <c r="K292" i="4"/>
  <c r="J292" i="4"/>
  <c r="I292" i="4"/>
  <c r="L291" i="4"/>
  <c r="K291" i="4"/>
  <c r="J291" i="4"/>
  <c r="I291" i="4"/>
  <c r="L290" i="4"/>
  <c r="K290" i="4"/>
  <c r="J290" i="4"/>
  <c r="I290" i="4"/>
  <c r="L289" i="4"/>
  <c r="K289" i="4"/>
  <c r="J289" i="4"/>
  <c r="I289" i="4"/>
  <c r="L288" i="4"/>
  <c r="K288" i="4"/>
  <c r="J288" i="4"/>
  <c r="I288" i="4"/>
  <c r="L287" i="4"/>
  <c r="K287" i="4"/>
  <c r="J287" i="4"/>
  <c r="I287" i="4"/>
  <c r="L286" i="4"/>
  <c r="K286" i="4"/>
  <c r="J286" i="4"/>
  <c r="I286" i="4"/>
  <c r="L285" i="4"/>
  <c r="K285" i="4"/>
  <c r="J285" i="4"/>
  <c r="I285" i="4"/>
  <c r="L284" i="4"/>
  <c r="K284" i="4"/>
  <c r="J284" i="4"/>
  <c r="I284" i="4"/>
  <c r="L283" i="4"/>
  <c r="K283" i="4"/>
  <c r="J283" i="4"/>
  <c r="I283" i="4"/>
  <c r="L282" i="4"/>
  <c r="K282" i="4"/>
  <c r="J282" i="4"/>
  <c r="I282" i="4"/>
  <c r="L281" i="4"/>
  <c r="K281" i="4"/>
  <c r="J281" i="4"/>
  <c r="I281" i="4"/>
  <c r="L280" i="4"/>
  <c r="K280" i="4"/>
  <c r="J280" i="4"/>
  <c r="I280" i="4"/>
  <c r="L279" i="4"/>
  <c r="K279" i="4"/>
  <c r="J279" i="4"/>
  <c r="I279" i="4"/>
  <c r="L278" i="4"/>
  <c r="K278" i="4"/>
  <c r="J278" i="4"/>
  <c r="I278" i="4"/>
  <c r="L277" i="4"/>
  <c r="K277" i="4"/>
  <c r="J277" i="4"/>
  <c r="I277" i="4"/>
  <c r="L276" i="4"/>
  <c r="K276" i="4"/>
  <c r="J276" i="4"/>
  <c r="I276" i="4"/>
  <c r="L275" i="4"/>
  <c r="K275" i="4"/>
  <c r="J275" i="4"/>
  <c r="I275" i="4"/>
  <c r="L274" i="4"/>
  <c r="K274" i="4"/>
  <c r="J274" i="4"/>
  <c r="I274" i="4"/>
  <c r="L273" i="4"/>
  <c r="K273" i="4"/>
  <c r="J273" i="4"/>
  <c r="I273" i="4"/>
  <c r="L272" i="4"/>
  <c r="K272" i="4"/>
  <c r="J272" i="4"/>
  <c r="I272" i="4"/>
  <c r="L271" i="4"/>
  <c r="K271" i="4"/>
  <c r="J271" i="4"/>
  <c r="I271" i="4"/>
  <c r="L270" i="4"/>
  <c r="K270" i="4"/>
  <c r="J270" i="4"/>
  <c r="I270" i="4"/>
  <c r="L269" i="4"/>
  <c r="K269" i="4"/>
  <c r="J269" i="4"/>
  <c r="I269" i="4"/>
  <c r="L268" i="4"/>
  <c r="K268" i="4"/>
  <c r="J268" i="4"/>
  <c r="I268" i="4"/>
  <c r="L267" i="4"/>
  <c r="K267" i="4"/>
  <c r="J267" i="4"/>
  <c r="I267" i="4"/>
  <c r="L266" i="4"/>
  <c r="K266" i="4"/>
  <c r="J266" i="4"/>
  <c r="I266" i="4"/>
  <c r="L265" i="4"/>
  <c r="K265" i="4"/>
  <c r="J265" i="4"/>
  <c r="I265" i="4"/>
  <c r="L264" i="4"/>
  <c r="K264" i="4"/>
  <c r="J264" i="4"/>
  <c r="I264" i="4"/>
  <c r="L263" i="4"/>
  <c r="K263" i="4"/>
  <c r="J263" i="4"/>
  <c r="I263" i="4"/>
  <c r="L262" i="4"/>
  <c r="K262" i="4"/>
  <c r="J262" i="4"/>
  <c r="I262" i="4"/>
  <c r="L261" i="4"/>
  <c r="K261" i="4"/>
  <c r="J261" i="4"/>
  <c r="I261" i="4"/>
  <c r="L260" i="4"/>
  <c r="K260" i="4"/>
  <c r="J260" i="4"/>
  <c r="I260" i="4"/>
  <c r="L259" i="4"/>
  <c r="K259" i="4"/>
  <c r="J259" i="4"/>
  <c r="I259" i="4"/>
  <c r="L258" i="4"/>
  <c r="K258" i="4"/>
  <c r="J258" i="4"/>
  <c r="I258" i="4"/>
  <c r="L257" i="4"/>
  <c r="K257" i="4"/>
  <c r="J257" i="4"/>
  <c r="I257" i="4"/>
  <c r="L256" i="4"/>
  <c r="K256" i="4"/>
  <c r="J256" i="4"/>
  <c r="I256" i="4"/>
  <c r="L255" i="4"/>
  <c r="K255" i="4"/>
  <c r="J255" i="4"/>
  <c r="I255" i="4"/>
  <c r="L254" i="4"/>
  <c r="K254" i="4"/>
  <c r="J254" i="4"/>
  <c r="I254" i="4"/>
  <c r="L253" i="4"/>
  <c r="K253" i="4"/>
  <c r="J253" i="4"/>
  <c r="I253" i="4"/>
  <c r="L252" i="4"/>
  <c r="K252" i="4"/>
  <c r="J252" i="4"/>
  <c r="I252" i="4"/>
  <c r="L251" i="4"/>
  <c r="K251" i="4"/>
  <c r="J251" i="4"/>
  <c r="I251" i="4"/>
  <c r="L250" i="4"/>
  <c r="K250" i="4"/>
  <c r="J250" i="4"/>
  <c r="I250" i="4"/>
  <c r="L249" i="4"/>
  <c r="K249" i="4"/>
  <c r="J249" i="4"/>
  <c r="I249" i="4"/>
  <c r="L248" i="4"/>
  <c r="K248" i="4"/>
  <c r="J248" i="4"/>
  <c r="I248" i="4"/>
  <c r="L247" i="4"/>
  <c r="K247" i="4"/>
  <c r="J247" i="4"/>
  <c r="I247" i="4"/>
  <c r="L246" i="4"/>
  <c r="K246" i="4"/>
  <c r="J246" i="4"/>
  <c r="I246" i="4"/>
  <c r="L245" i="4"/>
  <c r="K245" i="4"/>
  <c r="J245" i="4"/>
  <c r="I245" i="4"/>
  <c r="L244" i="4"/>
  <c r="K244" i="4"/>
  <c r="J244" i="4"/>
  <c r="I244" i="4"/>
  <c r="L243" i="4"/>
  <c r="K243" i="4"/>
  <c r="J243" i="4"/>
  <c r="I243" i="4"/>
  <c r="L242" i="4"/>
  <c r="K242" i="4"/>
  <c r="J242" i="4"/>
  <c r="I242" i="4"/>
  <c r="L241" i="4"/>
  <c r="K241" i="4"/>
  <c r="J241" i="4"/>
  <c r="I241" i="4"/>
  <c r="L240" i="4"/>
  <c r="K240" i="4"/>
  <c r="J240" i="4"/>
  <c r="I240" i="4"/>
  <c r="L239" i="4"/>
  <c r="K239" i="4"/>
  <c r="J239" i="4"/>
  <c r="I239" i="4"/>
  <c r="L238" i="4"/>
  <c r="K238" i="4"/>
  <c r="J238" i="4"/>
  <c r="I238" i="4"/>
  <c r="L237" i="4"/>
  <c r="K237" i="4"/>
  <c r="J237" i="4"/>
  <c r="I237" i="4"/>
  <c r="L236" i="4"/>
  <c r="K236" i="4"/>
  <c r="J236" i="4"/>
  <c r="I236" i="4"/>
  <c r="L235" i="4"/>
  <c r="K235" i="4"/>
  <c r="J235" i="4"/>
  <c r="I235" i="4"/>
  <c r="L234" i="4"/>
  <c r="K234" i="4"/>
  <c r="J234" i="4"/>
  <c r="I234" i="4"/>
  <c r="L233" i="4"/>
  <c r="K233" i="4"/>
  <c r="J233" i="4"/>
  <c r="I233" i="4"/>
  <c r="L232" i="4"/>
  <c r="K232" i="4"/>
  <c r="J232" i="4"/>
  <c r="I232" i="4"/>
  <c r="L231" i="4"/>
  <c r="K231" i="4"/>
  <c r="J231" i="4"/>
  <c r="I231" i="4"/>
  <c r="L230" i="4"/>
  <c r="K230" i="4"/>
  <c r="J230" i="4"/>
  <c r="I230" i="4"/>
  <c r="L229" i="4"/>
  <c r="K229" i="4"/>
  <c r="J229" i="4"/>
  <c r="I229" i="4"/>
  <c r="L228" i="4"/>
  <c r="K228" i="4"/>
  <c r="J228" i="4"/>
  <c r="I228" i="4"/>
  <c r="L227" i="4"/>
  <c r="K227" i="4"/>
  <c r="J227" i="4"/>
  <c r="I227" i="4"/>
  <c r="L226" i="4"/>
  <c r="K226" i="4"/>
  <c r="J226" i="4"/>
  <c r="I226" i="4"/>
  <c r="L225" i="4"/>
  <c r="K225" i="4"/>
  <c r="J225" i="4"/>
  <c r="I225" i="4"/>
  <c r="L224" i="4"/>
  <c r="K224" i="4"/>
  <c r="J224" i="4"/>
  <c r="I224" i="4"/>
  <c r="L223" i="4"/>
  <c r="K223" i="4"/>
  <c r="J223" i="4"/>
  <c r="I223" i="4"/>
  <c r="L222" i="4"/>
  <c r="K222" i="4"/>
  <c r="J222" i="4"/>
  <c r="I222" i="4"/>
  <c r="L221" i="4"/>
  <c r="K221" i="4"/>
  <c r="J221" i="4"/>
  <c r="I221" i="4"/>
  <c r="L220" i="4"/>
  <c r="K220" i="4"/>
  <c r="J220" i="4"/>
  <c r="I220" i="4"/>
  <c r="L219" i="4"/>
  <c r="K219" i="4"/>
  <c r="J219" i="4"/>
  <c r="I219" i="4"/>
  <c r="L218" i="4"/>
  <c r="K218" i="4"/>
  <c r="J218" i="4"/>
  <c r="I218" i="4"/>
  <c r="L217" i="4"/>
  <c r="K217" i="4"/>
  <c r="J217" i="4"/>
  <c r="I217" i="4"/>
  <c r="L216" i="4"/>
  <c r="K216" i="4"/>
  <c r="J216" i="4"/>
  <c r="I216" i="4"/>
  <c r="L215" i="4"/>
  <c r="K215" i="4"/>
  <c r="J215" i="4"/>
  <c r="I215" i="4"/>
  <c r="L214" i="4"/>
  <c r="K214" i="4"/>
  <c r="J214" i="4"/>
  <c r="I214" i="4"/>
  <c r="L213" i="4"/>
  <c r="K213" i="4"/>
  <c r="J213" i="4"/>
  <c r="I213" i="4"/>
  <c r="L212" i="4"/>
  <c r="K212" i="4"/>
  <c r="J212" i="4"/>
  <c r="I212" i="4"/>
  <c r="L211" i="4"/>
  <c r="K211" i="4"/>
  <c r="J211" i="4"/>
  <c r="I211" i="4"/>
  <c r="L210" i="4"/>
  <c r="K210" i="4"/>
  <c r="J210" i="4"/>
  <c r="I210" i="4"/>
  <c r="L209" i="4"/>
  <c r="K209" i="4"/>
  <c r="J209" i="4"/>
  <c r="I209" i="4"/>
  <c r="L208" i="4"/>
  <c r="K208" i="4"/>
  <c r="J208" i="4"/>
  <c r="I208" i="4"/>
  <c r="L207" i="4"/>
  <c r="K207" i="4"/>
  <c r="J207" i="4"/>
  <c r="I207" i="4"/>
  <c r="L206" i="4"/>
  <c r="K206" i="4"/>
  <c r="J206" i="4"/>
  <c r="I206" i="4"/>
  <c r="L205" i="4"/>
  <c r="K205" i="4"/>
  <c r="J205" i="4"/>
  <c r="I205" i="4"/>
  <c r="L204" i="4"/>
  <c r="K204" i="4"/>
  <c r="J204" i="4"/>
  <c r="I204" i="4"/>
  <c r="L203" i="4"/>
  <c r="K203" i="4"/>
  <c r="J203" i="4"/>
  <c r="I203" i="4"/>
  <c r="L202" i="4"/>
  <c r="K202" i="4"/>
  <c r="J202" i="4"/>
  <c r="I202" i="4"/>
  <c r="L201" i="4"/>
  <c r="K201" i="4"/>
  <c r="J201" i="4"/>
  <c r="I201" i="4"/>
  <c r="L200" i="4"/>
  <c r="K200" i="4"/>
  <c r="J200" i="4"/>
  <c r="I200" i="4"/>
  <c r="L199" i="4"/>
  <c r="K199" i="4"/>
  <c r="J199" i="4"/>
  <c r="I199" i="4"/>
  <c r="L198" i="4"/>
  <c r="K198" i="4"/>
  <c r="J198" i="4"/>
  <c r="I198" i="4"/>
  <c r="L197" i="4"/>
  <c r="K197" i="4"/>
  <c r="J197" i="4"/>
  <c r="I197" i="4"/>
  <c r="L196" i="4"/>
  <c r="K196" i="4"/>
  <c r="J196" i="4"/>
  <c r="I196" i="4"/>
  <c r="L195" i="4"/>
  <c r="K195" i="4"/>
  <c r="J195" i="4"/>
  <c r="I195" i="4"/>
  <c r="L194" i="4"/>
  <c r="K194" i="4"/>
  <c r="J194" i="4"/>
  <c r="I194" i="4"/>
  <c r="L193" i="4"/>
  <c r="K193" i="4"/>
  <c r="J193" i="4"/>
  <c r="I193" i="4"/>
  <c r="L192" i="4"/>
  <c r="K192" i="4"/>
  <c r="J192" i="4"/>
  <c r="I192" i="4"/>
  <c r="L191" i="4"/>
  <c r="K191" i="4"/>
  <c r="J191" i="4"/>
  <c r="I191" i="4"/>
  <c r="L190" i="4"/>
  <c r="K190" i="4"/>
  <c r="J190" i="4"/>
  <c r="I190" i="4"/>
  <c r="L189" i="4"/>
  <c r="K189" i="4"/>
  <c r="J189" i="4"/>
  <c r="I189" i="4"/>
  <c r="L188" i="4"/>
  <c r="K188" i="4"/>
  <c r="J188" i="4"/>
  <c r="I188" i="4"/>
  <c r="L187" i="4"/>
  <c r="K187" i="4"/>
  <c r="J187" i="4"/>
  <c r="I187" i="4"/>
  <c r="L186" i="4"/>
  <c r="K186" i="4"/>
  <c r="J186" i="4"/>
  <c r="I186" i="4"/>
  <c r="L185" i="4"/>
  <c r="K185" i="4"/>
  <c r="J185" i="4"/>
  <c r="I185" i="4"/>
  <c r="L184" i="4"/>
  <c r="K184" i="4"/>
  <c r="J184" i="4"/>
  <c r="I184" i="4"/>
  <c r="L183" i="4"/>
  <c r="K183" i="4"/>
  <c r="J183" i="4"/>
  <c r="I183" i="4"/>
  <c r="L182" i="4"/>
  <c r="K182" i="4"/>
  <c r="J182" i="4"/>
  <c r="I182" i="4"/>
  <c r="L181" i="4"/>
  <c r="K181" i="4"/>
  <c r="J181" i="4"/>
  <c r="I181" i="4"/>
  <c r="L180" i="4"/>
  <c r="K180" i="4"/>
  <c r="J180" i="4"/>
  <c r="I180" i="4"/>
  <c r="L179" i="4"/>
  <c r="K179" i="4"/>
  <c r="J179" i="4"/>
  <c r="I179" i="4"/>
  <c r="L178" i="4"/>
  <c r="K178" i="4"/>
  <c r="J178" i="4"/>
  <c r="I178" i="4"/>
  <c r="L177" i="4"/>
  <c r="K177" i="4"/>
  <c r="J177" i="4"/>
  <c r="I177" i="4"/>
  <c r="L176" i="4"/>
  <c r="K176" i="4"/>
  <c r="J176" i="4"/>
  <c r="I176" i="4"/>
  <c r="L175" i="4"/>
  <c r="K175" i="4"/>
  <c r="J175" i="4"/>
  <c r="I175" i="4"/>
  <c r="L174" i="4"/>
  <c r="K174" i="4"/>
  <c r="J174" i="4"/>
  <c r="I174" i="4"/>
  <c r="L173" i="4"/>
  <c r="K173" i="4"/>
  <c r="J173" i="4"/>
  <c r="I173" i="4"/>
  <c r="L172" i="4"/>
  <c r="K172" i="4"/>
  <c r="J172" i="4"/>
  <c r="I172" i="4"/>
  <c r="L171" i="4"/>
  <c r="K171" i="4"/>
  <c r="J171" i="4"/>
  <c r="I171" i="4"/>
  <c r="L170" i="4"/>
  <c r="K170" i="4"/>
  <c r="J170" i="4"/>
  <c r="I170" i="4"/>
  <c r="L169" i="4"/>
  <c r="K169" i="4"/>
  <c r="J169" i="4"/>
  <c r="I169" i="4"/>
  <c r="L168" i="4"/>
  <c r="K168" i="4"/>
  <c r="J168" i="4"/>
  <c r="I168" i="4"/>
  <c r="L167" i="4"/>
  <c r="K167" i="4"/>
  <c r="J167" i="4"/>
  <c r="I167" i="4"/>
  <c r="L166" i="4"/>
  <c r="K166" i="4"/>
  <c r="J166" i="4"/>
  <c r="I166" i="4"/>
  <c r="L165" i="4"/>
  <c r="K165" i="4"/>
  <c r="J165" i="4"/>
  <c r="I165" i="4"/>
  <c r="L164" i="4"/>
  <c r="K164" i="4"/>
  <c r="J164" i="4"/>
  <c r="I164" i="4"/>
  <c r="L163" i="4"/>
  <c r="K163" i="4"/>
  <c r="J163" i="4"/>
  <c r="I163" i="4"/>
  <c r="L162" i="4"/>
  <c r="K162" i="4"/>
  <c r="J162" i="4"/>
  <c r="I162" i="4"/>
  <c r="L161" i="4"/>
  <c r="K161" i="4"/>
  <c r="J161" i="4"/>
  <c r="I161" i="4"/>
  <c r="L160" i="4"/>
  <c r="K160" i="4"/>
  <c r="J160" i="4"/>
  <c r="I160" i="4"/>
  <c r="L159" i="4"/>
  <c r="K159" i="4"/>
  <c r="J159" i="4"/>
  <c r="I159" i="4"/>
  <c r="L158" i="4"/>
  <c r="K158" i="4"/>
  <c r="J158" i="4"/>
  <c r="I158" i="4"/>
  <c r="L157" i="4"/>
  <c r="K157" i="4"/>
  <c r="J157" i="4"/>
  <c r="I157" i="4"/>
  <c r="L156" i="4"/>
  <c r="K156" i="4"/>
  <c r="J156" i="4"/>
  <c r="I156" i="4"/>
  <c r="L155" i="4"/>
  <c r="K155" i="4"/>
  <c r="J155" i="4"/>
  <c r="I155" i="4"/>
  <c r="L154" i="4"/>
  <c r="K154" i="4"/>
  <c r="J154" i="4"/>
  <c r="I154" i="4"/>
  <c r="L153" i="4"/>
  <c r="K153" i="4"/>
  <c r="J153" i="4"/>
  <c r="I153" i="4"/>
  <c r="L152" i="4"/>
  <c r="K152" i="4"/>
  <c r="J152" i="4"/>
  <c r="I152" i="4"/>
  <c r="L151" i="4"/>
  <c r="K151" i="4"/>
  <c r="J151" i="4"/>
  <c r="I151" i="4"/>
  <c r="L150" i="4"/>
  <c r="K150" i="4"/>
  <c r="J150" i="4"/>
  <c r="I150" i="4"/>
  <c r="L149" i="4"/>
  <c r="K149" i="4"/>
  <c r="J149" i="4"/>
  <c r="I149" i="4"/>
  <c r="L148" i="4"/>
  <c r="K148" i="4"/>
  <c r="J148" i="4"/>
  <c r="I148" i="4"/>
  <c r="L147" i="4"/>
  <c r="K147" i="4"/>
  <c r="J147" i="4"/>
  <c r="I147" i="4"/>
  <c r="L146" i="4"/>
  <c r="K146" i="4"/>
  <c r="J146" i="4"/>
  <c r="I146" i="4"/>
  <c r="L145" i="4"/>
  <c r="K145" i="4"/>
  <c r="J145" i="4"/>
  <c r="I145" i="4"/>
  <c r="L144" i="4"/>
  <c r="K144" i="4"/>
  <c r="J144" i="4"/>
  <c r="I144" i="4"/>
  <c r="L143" i="4"/>
  <c r="K143" i="4"/>
  <c r="J143" i="4"/>
  <c r="I143" i="4"/>
  <c r="L142" i="4"/>
  <c r="K142" i="4"/>
  <c r="J142" i="4"/>
  <c r="I142" i="4"/>
  <c r="L141" i="4"/>
  <c r="K141" i="4"/>
  <c r="J141" i="4"/>
  <c r="I141" i="4"/>
  <c r="L140" i="4"/>
  <c r="K140" i="4"/>
  <c r="J140" i="4"/>
  <c r="I140" i="4"/>
  <c r="L139" i="4"/>
  <c r="K139" i="4"/>
  <c r="J139" i="4"/>
  <c r="I139" i="4"/>
  <c r="L138" i="4"/>
  <c r="K138" i="4"/>
  <c r="J138" i="4"/>
  <c r="I138" i="4"/>
  <c r="L137" i="4"/>
  <c r="K137" i="4"/>
  <c r="J137" i="4"/>
  <c r="I137" i="4"/>
  <c r="L136" i="4"/>
  <c r="K136" i="4"/>
  <c r="J136" i="4"/>
  <c r="I136" i="4"/>
  <c r="L135" i="4"/>
  <c r="K135" i="4"/>
  <c r="J135" i="4"/>
  <c r="I135" i="4"/>
  <c r="L134" i="4"/>
  <c r="K134" i="4"/>
  <c r="J134" i="4"/>
  <c r="I134" i="4"/>
  <c r="L133" i="4"/>
  <c r="K133" i="4"/>
  <c r="J133" i="4"/>
  <c r="I133" i="4"/>
  <c r="L132" i="4"/>
  <c r="K132" i="4"/>
  <c r="J132" i="4"/>
  <c r="I132" i="4"/>
  <c r="L131" i="4"/>
  <c r="K131" i="4"/>
  <c r="J131" i="4"/>
  <c r="I131" i="4"/>
  <c r="L130" i="4"/>
  <c r="K130" i="4"/>
  <c r="J130" i="4"/>
  <c r="I130" i="4"/>
  <c r="L129" i="4"/>
  <c r="K129" i="4"/>
  <c r="J129" i="4"/>
  <c r="I129" i="4"/>
  <c r="L128" i="4"/>
  <c r="K128" i="4"/>
  <c r="J128" i="4"/>
  <c r="I128" i="4"/>
  <c r="L127" i="4"/>
  <c r="K127" i="4"/>
  <c r="J127" i="4"/>
  <c r="I127" i="4"/>
  <c r="L126" i="4"/>
  <c r="K126" i="4"/>
  <c r="J126" i="4"/>
  <c r="I126" i="4"/>
  <c r="L125" i="4"/>
  <c r="K125" i="4"/>
  <c r="J125" i="4"/>
  <c r="I125" i="4"/>
  <c r="L124" i="4"/>
  <c r="K124" i="4"/>
  <c r="J124" i="4"/>
  <c r="I124" i="4"/>
  <c r="L123" i="4"/>
  <c r="K123" i="4"/>
  <c r="J123" i="4"/>
  <c r="I123" i="4"/>
  <c r="L122" i="4"/>
  <c r="K122" i="4"/>
  <c r="J122" i="4"/>
  <c r="I122" i="4"/>
  <c r="L121" i="4"/>
  <c r="K121" i="4"/>
  <c r="J121" i="4"/>
  <c r="I121" i="4"/>
  <c r="L120" i="4"/>
  <c r="K120" i="4"/>
  <c r="J120" i="4"/>
  <c r="I120" i="4"/>
  <c r="L119" i="4"/>
  <c r="K119" i="4"/>
  <c r="J119" i="4"/>
  <c r="I119" i="4"/>
  <c r="L118" i="4"/>
  <c r="K118" i="4"/>
  <c r="J118" i="4"/>
  <c r="I118" i="4"/>
  <c r="L117" i="4"/>
  <c r="K117" i="4"/>
  <c r="J117" i="4"/>
  <c r="I117" i="4"/>
  <c r="L116" i="4"/>
  <c r="K116" i="4"/>
  <c r="J116" i="4"/>
  <c r="I116" i="4"/>
  <c r="L115" i="4"/>
  <c r="K115" i="4"/>
  <c r="J115" i="4"/>
  <c r="I115" i="4"/>
  <c r="L114" i="4"/>
  <c r="K114" i="4"/>
  <c r="J114" i="4"/>
  <c r="I114" i="4"/>
  <c r="L113" i="4"/>
  <c r="K113" i="4"/>
  <c r="J113" i="4"/>
  <c r="I113" i="4"/>
  <c r="L112" i="4"/>
  <c r="K112" i="4"/>
  <c r="J112" i="4"/>
  <c r="I112" i="4"/>
  <c r="L111" i="4"/>
  <c r="K111" i="4"/>
  <c r="J111" i="4"/>
  <c r="I111" i="4"/>
  <c r="L110" i="4"/>
  <c r="K110" i="4"/>
  <c r="J110" i="4"/>
  <c r="I110" i="4"/>
  <c r="L109" i="4"/>
  <c r="K109" i="4"/>
  <c r="J109" i="4"/>
  <c r="I109" i="4"/>
  <c r="L108" i="4"/>
  <c r="K108" i="4"/>
  <c r="J108" i="4"/>
  <c r="I108" i="4"/>
  <c r="L107" i="4"/>
  <c r="K107" i="4"/>
  <c r="J107" i="4"/>
  <c r="I107" i="4"/>
  <c r="L106" i="4"/>
  <c r="K106" i="4"/>
  <c r="J106" i="4"/>
  <c r="I106" i="4"/>
  <c r="L105" i="4"/>
  <c r="K105" i="4"/>
  <c r="J105" i="4"/>
  <c r="I105" i="4"/>
  <c r="L104" i="4"/>
  <c r="K104" i="4"/>
  <c r="J104" i="4"/>
  <c r="I104" i="4"/>
  <c r="L103" i="4"/>
  <c r="K103" i="4"/>
  <c r="J103" i="4"/>
  <c r="I103" i="4"/>
  <c r="L102" i="4"/>
  <c r="K102" i="4"/>
  <c r="J102" i="4"/>
  <c r="I102" i="4"/>
  <c r="L101" i="4"/>
  <c r="K101" i="4"/>
  <c r="J101" i="4"/>
  <c r="I101" i="4"/>
  <c r="L100" i="4"/>
  <c r="K100" i="4"/>
  <c r="J100" i="4"/>
  <c r="I100" i="4"/>
  <c r="L99" i="4"/>
  <c r="K99" i="4"/>
  <c r="J99" i="4"/>
  <c r="I99" i="4"/>
  <c r="L98" i="4"/>
  <c r="K98" i="4"/>
  <c r="J98" i="4"/>
  <c r="I98" i="4"/>
  <c r="L97" i="4"/>
  <c r="K97" i="4"/>
  <c r="J97" i="4"/>
  <c r="I97" i="4"/>
  <c r="L96" i="4"/>
  <c r="K96" i="4"/>
  <c r="J96" i="4"/>
  <c r="I96" i="4"/>
  <c r="L95" i="4"/>
  <c r="K95" i="4"/>
  <c r="J95" i="4"/>
  <c r="I95" i="4"/>
  <c r="L94" i="4"/>
  <c r="K94" i="4"/>
  <c r="J94" i="4"/>
  <c r="I94" i="4"/>
  <c r="L93" i="4"/>
  <c r="K93" i="4"/>
  <c r="J93" i="4"/>
  <c r="I93" i="4"/>
  <c r="L92" i="4"/>
  <c r="K92" i="4"/>
  <c r="J92" i="4"/>
  <c r="I92" i="4"/>
  <c r="L91" i="4"/>
  <c r="K91" i="4"/>
  <c r="J91" i="4"/>
  <c r="I91" i="4"/>
  <c r="L90" i="4"/>
  <c r="K90" i="4"/>
  <c r="J90" i="4"/>
  <c r="I90" i="4"/>
  <c r="L89" i="4"/>
  <c r="K89" i="4"/>
  <c r="J89" i="4"/>
  <c r="I89" i="4"/>
  <c r="L88" i="4"/>
  <c r="K88" i="4"/>
  <c r="J88" i="4"/>
  <c r="I88" i="4"/>
  <c r="L87" i="4"/>
  <c r="K87" i="4"/>
  <c r="J87" i="4"/>
  <c r="I87" i="4"/>
  <c r="L86" i="4"/>
  <c r="K86" i="4"/>
  <c r="J86" i="4"/>
  <c r="I86" i="4"/>
  <c r="L85" i="4"/>
  <c r="K85" i="4"/>
  <c r="J85" i="4"/>
  <c r="I85" i="4"/>
  <c r="L84" i="4"/>
  <c r="K84" i="4"/>
  <c r="J84" i="4"/>
  <c r="I84" i="4"/>
  <c r="L83" i="4"/>
  <c r="K83" i="4"/>
  <c r="J83" i="4"/>
  <c r="I83" i="4"/>
  <c r="L82" i="4"/>
  <c r="K82" i="4"/>
  <c r="J82" i="4"/>
  <c r="I82" i="4"/>
  <c r="L81" i="4"/>
  <c r="K81" i="4"/>
  <c r="J81" i="4"/>
  <c r="I81" i="4"/>
  <c r="L80" i="4"/>
  <c r="K80" i="4"/>
  <c r="J80" i="4"/>
  <c r="I80" i="4"/>
  <c r="L79" i="4"/>
  <c r="K79" i="4"/>
  <c r="J79" i="4"/>
  <c r="I79" i="4"/>
  <c r="L78" i="4"/>
  <c r="K78" i="4"/>
  <c r="J78" i="4"/>
  <c r="I78" i="4"/>
  <c r="L77" i="4"/>
  <c r="K77" i="4"/>
  <c r="J77" i="4"/>
  <c r="I77" i="4"/>
  <c r="L76" i="4"/>
  <c r="K76" i="4"/>
  <c r="J76" i="4"/>
  <c r="I76" i="4"/>
  <c r="L75" i="4"/>
  <c r="K75" i="4"/>
  <c r="J75" i="4"/>
  <c r="I75" i="4"/>
  <c r="L74" i="4"/>
  <c r="K74" i="4"/>
  <c r="J74" i="4"/>
  <c r="I74" i="4"/>
  <c r="L73" i="4"/>
  <c r="K73" i="4"/>
  <c r="J73" i="4"/>
  <c r="I73" i="4"/>
  <c r="L72" i="4"/>
  <c r="K72" i="4"/>
  <c r="J72" i="4"/>
  <c r="I72" i="4"/>
  <c r="L71" i="4"/>
  <c r="K71" i="4"/>
  <c r="J71" i="4"/>
  <c r="I71" i="4"/>
  <c r="L70" i="4"/>
  <c r="K70" i="4"/>
  <c r="J70" i="4"/>
  <c r="I70" i="4"/>
  <c r="L69" i="4"/>
  <c r="K69" i="4"/>
  <c r="J69" i="4"/>
  <c r="I69" i="4"/>
  <c r="L68" i="4"/>
  <c r="K68" i="4"/>
  <c r="J68" i="4"/>
  <c r="I68" i="4"/>
  <c r="L67" i="4"/>
  <c r="K67" i="4"/>
  <c r="J67" i="4"/>
  <c r="I67" i="4"/>
  <c r="L66" i="4"/>
  <c r="K66" i="4"/>
  <c r="J66" i="4"/>
  <c r="I66" i="4"/>
  <c r="L65" i="4"/>
  <c r="K65" i="4"/>
  <c r="J65" i="4"/>
  <c r="I65" i="4"/>
  <c r="L64" i="4"/>
  <c r="K64" i="4"/>
  <c r="J64" i="4"/>
  <c r="I64" i="4"/>
  <c r="L63" i="4"/>
  <c r="K63" i="4"/>
  <c r="J63" i="4"/>
  <c r="I63" i="4"/>
  <c r="L62" i="4"/>
  <c r="K62" i="4"/>
  <c r="J62" i="4"/>
  <c r="I62" i="4"/>
  <c r="L61" i="4"/>
  <c r="K61" i="4"/>
  <c r="J61" i="4"/>
  <c r="I61" i="4"/>
  <c r="L60" i="4"/>
  <c r="K60" i="4"/>
  <c r="J60" i="4"/>
  <c r="I60" i="4"/>
  <c r="L59" i="4"/>
  <c r="K59" i="4"/>
  <c r="J59" i="4"/>
  <c r="I59" i="4"/>
  <c r="L58" i="4"/>
  <c r="K58" i="4"/>
  <c r="J58" i="4"/>
  <c r="I58" i="4"/>
  <c r="L57" i="4"/>
  <c r="K57" i="4"/>
  <c r="J57" i="4"/>
  <c r="I57" i="4"/>
  <c r="L56" i="4"/>
  <c r="K56" i="4"/>
  <c r="J56" i="4"/>
  <c r="I56" i="4"/>
  <c r="L55" i="4"/>
  <c r="K55" i="4"/>
  <c r="J55" i="4"/>
  <c r="I55" i="4"/>
  <c r="L54" i="4"/>
  <c r="K54" i="4"/>
  <c r="J54" i="4"/>
  <c r="I54" i="4"/>
  <c r="L53" i="4"/>
  <c r="K53" i="4"/>
  <c r="J53" i="4"/>
  <c r="I53" i="4"/>
  <c r="L52" i="4"/>
  <c r="K52" i="4"/>
  <c r="J52" i="4"/>
  <c r="I52" i="4"/>
  <c r="L51" i="4"/>
  <c r="K51" i="4"/>
  <c r="J51" i="4"/>
  <c r="I51" i="4"/>
  <c r="L50" i="4"/>
  <c r="K50" i="4"/>
  <c r="J50" i="4"/>
  <c r="I50" i="4"/>
  <c r="L49" i="4"/>
  <c r="K49" i="4"/>
  <c r="J49" i="4"/>
  <c r="I49" i="4"/>
  <c r="L48" i="4"/>
  <c r="K48" i="4"/>
  <c r="J48" i="4"/>
  <c r="I48" i="4"/>
  <c r="L47" i="4"/>
  <c r="K47" i="4"/>
  <c r="J47" i="4"/>
  <c r="I47" i="4"/>
  <c r="L46" i="4"/>
  <c r="K46" i="4"/>
  <c r="J46" i="4"/>
  <c r="I46" i="4"/>
  <c r="L45" i="4"/>
  <c r="K45" i="4"/>
  <c r="J45" i="4"/>
  <c r="I45" i="4"/>
  <c r="L44" i="4"/>
  <c r="K44" i="4"/>
  <c r="J44" i="4"/>
  <c r="I44" i="4"/>
  <c r="L43" i="4"/>
  <c r="K43" i="4"/>
  <c r="J43" i="4"/>
  <c r="I43" i="4"/>
  <c r="L42" i="4"/>
  <c r="K42" i="4"/>
  <c r="J42" i="4"/>
  <c r="I42" i="4"/>
  <c r="L41" i="4"/>
  <c r="K41" i="4"/>
  <c r="J41" i="4"/>
  <c r="I41" i="4"/>
  <c r="L40" i="4"/>
  <c r="K40" i="4"/>
  <c r="J40" i="4"/>
  <c r="I40" i="4"/>
  <c r="L39" i="4"/>
  <c r="K39" i="4"/>
  <c r="J39" i="4"/>
  <c r="I39" i="4"/>
  <c r="L38" i="4"/>
  <c r="K38" i="4"/>
  <c r="J38" i="4"/>
  <c r="I38" i="4"/>
  <c r="L37" i="4"/>
  <c r="K37" i="4"/>
  <c r="J37" i="4"/>
  <c r="I37" i="4"/>
  <c r="L36" i="4"/>
  <c r="K36" i="4"/>
  <c r="J36" i="4"/>
  <c r="I36" i="4"/>
  <c r="L35" i="4"/>
  <c r="K35" i="4"/>
  <c r="J35" i="4"/>
  <c r="I35" i="4"/>
  <c r="L34" i="4"/>
  <c r="K34" i="4"/>
  <c r="J34" i="4"/>
  <c r="I34" i="4"/>
  <c r="L33" i="4"/>
  <c r="K33" i="4"/>
  <c r="J33" i="4"/>
  <c r="I33" i="4"/>
  <c r="L32" i="4"/>
  <c r="K32" i="4"/>
  <c r="J32" i="4"/>
  <c r="I32" i="4"/>
  <c r="L31" i="4"/>
  <c r="K31" i="4"/>
  <c r="J31" i="4"/>
  <c r="I31" i="4"/>
  <c r="L30" i="4"/>
  <c r="K30" i="4"/>
  <c r="J30" i="4"/>
  <c r="I30" i="4"/>
  <c r="L29" i="4"/>
  <c r="K29" i="4"/>
  <c r="J29" i="4"/>
  <c r="I29" i="4"/>
  <c r="L28" i="4"/>
  <c r="K28" i="4"/>
  <c r="J28" i="4"/>
  <c r="I28" i="4"/>
  <c r="L27" i="4"/>
  <c r="K27" i="4"/>
  <c r="J27" i="4"/>
  <c r="I27" i="4"/>
  <c r="L26" i="4"/>
  <c r="K26" i="4"/>
  <c r="J26" i="4"/>
  <c r="I26" i="4"/>
  <c r="L25" i="4"/>
  <c r="K25" i="4"/>
  <c r="J25" i="4"/>
  <c r="I25" i="4"/>
  <c r="L24" i="4"/>
  <c r="K24" i="4"/>
  <c r="J24" i="4"/>
  <c r="I24" i="4"/>
  <c r="L23" i="4"/>
  <c r="K23" i="4"/>
  <c r="J23" i="4"/>
  <c r="I23" i="4"/>
  <c r="L22" i="4"/>
  <c r="K22" i="4"/>
  <c r="J22" i="4"/>
  <c r="I22" i="4"/>
  <c r="L21" i="4"/>
  <c r="K21" i="4"/>
  <c r="J21" i="4"/>
  <c r="I21" i="4"/>
  <c r="L20" i="4"/>
  <c r="K20" i="4"/>
  <c r="J20" i="4"/>
  <c r="I20" i="4"/>
  <c r="L19" i="4"/>
  <c r="K19" i="4"/>
  <c r="J19" i="4"/>
  <c r="I19" i="4"/>
  <c r="L18" i="4"/>
  <c r="K18" i="4"/>
  <c r="J18" i="4"/>
  <c r="I18" i="4"/>
  <c r="L17" i="4"/>
  <c r="K17" i="4"/>
  <c r="J17" i="4"/>
  <c r="I17" i="4"/>
  <c r="L16" i="4"/>
  <c r="K16" i="4"/>
  <c r="J16" i="4"/>
  <c r="I16" i="4"/>
  <c r="L15" i="4"/>
  <c r="K15" i="4"/>
  <c r="J15" i="4"/>
  <c r="I15" i="4"/>
  <c r="L14" i="4"/>
  <c r="K14" i="4"/>
  <c r="J14" i="4"/>
  <c r="I14" i="4"/>
  <c r="L13" i="4"/>
  <c r="K13" i="4"/>
  <c r="J13" i="4"/>
  <c r="I13" i="4"/>
  <c r="L12" i="4"/>
  <c r="K12" i="4"/>
  <c r="J12" i="4"/>
  <c r="I12" i="4"/>
  <c r="L11" i="4"/>
  <c r="K11" i="4"/>
  <c r="J11" i="4"/>
  <c r="I11" i="4"/>
  <c r="L10" i="4"/>
  <c r="K10" i="4"/>
  <c r="J10" i="4"/>
  <c r="I10" i="4"/>
  <c r="L9" i="4"/>
  <c r="K9" i="4"/>
  <c r="J9" i="4"/>
  <c r="I9" i="4"/>
  <c r="L8" i="4"/>
  <c r="K8" i="4"/>
  <c r="J8" i="4"/>
  <c r="I8" i="4"/>
  <c r="L7" i="4"/>
  <c r="K7" i="4"/>
  <c r="J7" i="4"/>
  <c r="I7" i="4"/>
  <c r="O6" i="4"/>
  <c r="L6" i="4"/>
  <c r="K6" i="4"/>
  <c r="J6" i="4"/>
  <c r="I6" i="4"/>
  <c r="O5" i="4"/>
  <c r="L5" i="4"/>
  <c r="K5" i="4"/>
  <c r="J5" i="4"/>
  <c r="I5" i="4"/>
  <c r="O4" i="4"/>
  <c r="L4" i="4"/>
  <c r="K4" i="4"/>
  <c r="J4" i="4"/>
  <c r="I4" i="4"/>
  <c r="D20" i="3"/>
  <c r="D19" i="3" a="1"/>
  <c r="D19" i="3" s="1"/>
  <c r="D18" i="3" a="1"/>
  <c r="D18" i="3" s="1"/>
  <c r="D17" i="3" a="1"/>
  <c r="D17" i="3" s="1"/>
  <c r="D16" i="3" a="1"/>
  <c r="D16" i="3" s="1"/>
  <c r="D15" i="3"/>
  <c r="D14" i="3" a="1"/>
  <c r="D14" i="3" s="1"/>
  <c r="D13" i="3"/>
  <c r="D12" i="3"/>
  <c r="D11" i="3"/>
  <c r="J11" i="6" l="1"/>
  <c r="J7" i="6"/>
  <c r="J17" i="6"/>
  <c r="J13" i="6"/>
  <c r="J8" i="6"/>
  <c r="J18" i="6"/>
  <c r="J12" i="6"/>
  <c r="J14" i="6"/>
  <c r="J5" i="6"/>
  <c r="K5" i="6" s="1"/>
  <c r="J15" i="6"/>
  <c r="J6" i="6"/>
  <c r="J16" i="6"/>
  <c r="J9" i="6"/>
  <c r="J10" i="6"/>
  <c r="K6" i="6" l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T10" i="7" s="1"/>
</calcChain>
</file>

<file path=xl/sharedStrings.xml><?xml version="1.0" encoding="utf-8"?>
<sst xmlns="http://schemas.openxmlformats.org/spreadsheetml/2006/main" count="4472" uniqueCount="137">
  <si>
    <t>Business Objective</t>
  </si>
  <si>
    <t>Data Structure</t>
  </si>
  <si>
    <t>KPI Definitions</t>
  </si>
  <si>
    <t>Determine whether incoming ticket demand exceeded the team's processing capacity during the analysis period and identify factors contributing to backlog growth.</t>
  </si>
  <si>
    <t>Status, Priority, Team, and Ticket Type are selected from dropdown menus to ensure category consistency.</t>
  </si>
  <si>
    <t>KPI</t>
  </si>
  <si>
    <t>Definition</t>
  </si>
  <si>
    <t>Incoming Tickets</t>
  </si>
  <si>
    <t>Total tickets received during the analysis period.</t>
  </si>
  <si>
    <t>Analysis Scope</t>
  </si>
  <si>
    <t>Data Quality Checks</t>
  </si>
  <si>
    <t>Completed Tickets</t>
  </si>
  <si>
    <t>Total tickets resolved during the analysis period.</t>
  </si>
  <si>
    <t>Analysis Period: January - March</t>
  </si>
  <si>
    <t>The dataset was validated for:</t>
  </si>
  <si>
    <t>Backlog</t>
  </si>
  <si>
    <t>Cumulative difference between incoming and completed tickets during the analysis period.</t>
  </si>
  <si>
    <t>Records Analyzed: 399</t>
  </si>
  <si>
    <t>Missing values</t>
  </si>
  <si>
    <t>Avg Resolution Time</t>
  </si>
  <si>
    <t>Average resolution time for completed tickets (hours).</t>
  </si>
  <si>
    <t>Duplicate Ticket IDs</t>
  </si>
  <si>
    <t>Dataset Type: Simulated (based on a real business process)</t>
  </si>
  <si>
    <t>Invalid dates</t>
  </si>
  <si>
    <t>Resolution date inconsistencies</t>
  </si>
  <si>
    <t>Key Assumptions</t>
  </si>
  <si>
    <t>Negative resolution times</t>
  </si>
  <si>
    <t>Ticket IDs are unique identifiers.</t>
  </si>
  <si>
    <t>Blank resolution dates are valid for open tickets.</t>
  </si>
  <si>
    <t>Project Limitations</t>
  </si>
  <si>
    <t>Weeks start on Monday.</t>
  </si>
  <si>
    <t>Historical backlog data was unavailable.</t>
  </si>
  <si>
    <t>Resolution time is measured in hours.</t>
  </si>
  <si>
    <t>The dashboard measures backlog accumulated during the analysis period only.</t>
  </si>
  <si>
    <t>Backlog represents the analysis period only.</t>
  </si>
  <si>
    <t>The dataset was recreated for portfolio purposes and does not contain confidential information.</t>
  </si>
  <si>
    <t>ticket_id</t>
  </si>
  <si>
    <t>creation_date</t>
  </si>
  <si>
    <t>resolution_date</t>
  </si>
  <si>
    <t>status</t>
  </si>
  <si>
    <t>ticket_type</t>
  </si>
  <si>
    <t>priority</t>
  </si>
  <si>
    <t>team</t>
  </si>
  <si>
    <t>resolution_time_hours</t>
  </si>
  <si>
    <t/>
  </si>
  <si>
    <t>Open</t>
  </si>
  <si>
    <t>Series</t>
  </si>
  <si>
    <t>Medium</t>
  </si>
  <si>
    <t>Movie</t>
  </si>
  <si>
    <t>Low</t>
  </si>
  <si>
    <t>Closed</t>
  </si>
  <si>
    <t>High</t>
  </si>
  <si>
    <t>Data Quality Audit</t>
  </si>
  <si>
    <t>Data Quality Summary</t>
  </si>
  <si>
    <t>Records Audited</t>
  </si>
  <si>
    <t>Validation Checks</t>
  </si>
  <si>
    <t>Passed</t>
  </si>
  <si>
    <t>Failed</t>
  </si>
  <si>
    <t>Category</t>
  </si>
  <si>
    <t>Validation</t>
  </si>
  <si>
    <t>Description</t>
  </si>
  <si>
    <t>Result</t>
  </si>
  <si>
    <t>Status</t>
  </si>
  <si>
    <t>Comments</t>
  </si>
  <si>
    <t>Completeness</t>
  </si>
  <si>
    <t>Total Records</t>
  </si>
  <si>
    <t>PASS</t>
  </si>
  <si>
    <t>Blank Ticket IDs</t>
  </si>
  <si>
    <t>Blank Creation Dates</t>
  </si>
  <si>
    <t>Uniqueness</t>
  </si>
  <si>
    <t>Business Rules</t>
  </si>
  <si>
    <t>Closed Tickets Without Resolution Date</t>
  </si>
  <si>
    <t>FAIL</t>
  </si>
  <si>
    <t>Resolution Before Creation Date</t>
  </si>
  <si>
    <t>Consistency</t>
  </si>
  <si>
    <t>Invalid Creation Dates</t>
  </si>
  <si>
    <t>Invalid Resolution Dates</t>
  </si>
  <si>
    <t>Invalid Resolution Hours</t>
  </si>
  <si>
    <t>Negative Resolution Hours</t>
  </si>
  <si>
    <t>creation_week</t>
  </si>
  <si>
    <t>resolution_week</t>
  </si>
  <si>
    <t>creation_month</t>
  </si>
  <si>
    <t>resolution_month</t>
  </si>
  <si>
    <t>Validations</t>
  </si>
  <si>
    <t>Month Number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</si>
  <si>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</si>
  <si>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</si>
  <si>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</si>
  <si>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</si>
  <si>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</si>
  <si>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</si>
  <si>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</si>
  <si>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</si>
  <si>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</si>
  <si>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</si>
  <si>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</si>
  <si>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</si>
  <si>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</si>
  <si>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Incoming Tickets by Week</t>
  </si>
  <si>
    <t>Completed Tickets by Week</t>
  </si>
  <si>
    <t>Weekly Capacity Analysis</t>
  </si>
  <si>
    <t>Analysis Week</t>
  </si>
  <si>
    <t>Backlog Change</t>
  </si>
  <si>
    <t>Average Resolution Time by Ticket Type</t>
  </si>
  <si>
    <t>Open Tickets by Priority</t>
  </si>
  <si>
    <t>Average Resolution Time (hrs)</t>
  </si>
  <si>
    <t>Avg Resolution Time (hrs)</t>
  </si>
  <si>
    <t>Total general</t>
  </si>
  <si>
    <t>Project Assumptions</t>
  </si>
  <si>
    <t>Tool Used: Excel</t>
  </si>
  <si>
    <t>Verify the total number of records in the dataset</t>
  </si>
  <si>
    <t>Verify that every ticket has a valid ID</t>
  </si>
  <si>
    <t>Verify that all tickets have a creation date</t>
  </si>
  <si>
    <t>Verify that each ticket has a unique ID</t>
  </si>
  <si>
    <t>Verify that all closed tickets have a resolution date</t>
  </si>
  <si>
    <t>Verify that resolution dates are not earlier than creation dates</t>
  </si>
  <si>
    <t>Verify that all creation dates are valid date values</t>
  </si>
  <si>
    <t>Verify that all resolution dates are valid date values</t>
  </si>
  <si>
    <t>Verify that all resolution time values are numeric</t>
  </si>
  <si>
    <t>Verify that resolution time values are zero or greater</t>
  </si>
  <si>
    <t>Four manually entered records were missing a resolution date</t>
  </si>
  <si>
    <t>Two records contained inconsistent chronological dates</t>
  </si>
  <si>
    <t>Clean Ticket Dataset</t>
  </si>
  <si>
    <t>Lookup Table</t>
  </si>
  <si>
    <t>Resolution Month</t>
  </si>
  <si>
    <t>Operational Analysis</t>
  </si>
  <si>
    <t>Cuenta de ticket_id</t>
  </si>
  <si>
    <t xml:space="preserve">        Open Tickets by Priority</t>
  </si>
  <si>
    <t>Ticket Operations Analysis Dashboard</t>
  </si>
  <si>
    <t>Analysis Period: January–March</t>
  </si>
  <si>
    <t>Raw Ticket Dataset</t>
  </si>
  <si>
    <t xml:space="preserve">  Business Question</t>
  </si>
  <si>
    <t xml:space="preserve">  Was the team able to keep up with incoming ticket demand? </t>
  </si>
  <si>
    <t xml:space="preserve">  Incoming vs Completed Tickets by Week</t>
  </si>
  <si>
    <t xml:space="preserve">  Average Resolution Time by Ticket Type</t>
  </si>
  <si>
    <t>Team A</t>
  </si>
  <si>
    <t>Team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</si>
</sst>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rgb="FF000000"/>
      <name val="Arial"/>
      <scheme val="minor"/>
    </font>
    <font>
      <sz val="14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4"/>
      <color theme="8" tint="-0.249977111117893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22"/>
      <color rgb="FF000000"/>
      <name val="Arial"/>
      <family val="2"/>
    </font>
    <font>
      <sz val="22"/>
      <color rgb="FF000000"/>
      <name val="Arial"/>
      <family val="2"/>
      <scheme val="minor"/>
    </font>
    <font>
      <b/>
      <sz val="12"/>
      <color theme="1" tint="0.14999847407452621"/>
      <name val="Arial"/>
      <family val="2"/>
      <scheme val="minor"/>
    </font>
    <font>
      <b/>
      <sz val="11"/>
      <color theme="1" tint="0.14999847407452621"/>
      <name val="Arial"/>
      <family val="2"/>
      <scheme val="minor"/>
    </font>
    <font>
      <b/>
      <sz val="10"/>
      <color theme="1" tint="0.14999847407452621"/>
      <name val="Arial"/>
      <family val="2"/>
    </font>
    <font>
      <b/>
      <sz val="10"/>
      <color theme="1" tint="0.14999847407452621"/>
      <name val="Arial"/>
      <family val="2"/>
      <scheme val="minor"/>
    </font>
    <font>
      <b/>
      <sz val="14"/>
      <color theme="1" tint="0.14999847407452621"/>
      <name val="Arial"/>
      <family val="2"/>
      <scheme val="minor"/>
    </font>
    <font>
      <sz val="12"/>
      <color theme="1" tint="0.14999847407452621"/>
      <name val="Arial"/>
      <family val="2"/>
      <scheme val="minor"/>
    </font>
    <font>
      <b/>
      <sz val="24"/>
      <color theme="3"/>
      <name val="Abadi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name val="Arial"/>
      <family val="2"/>
    </font>
    <font>
      <sz val="16"/>
      <color rgb="FF000000"/>
      <name val="Arial"/>
      <family val="2"/>
      <scheme val="minor"/>
    </font>
    <font>
      <sz val="16"/>
      <color theme="3"/>
      <name val="Abadi"/>
      <family val="2"/>
    </font>
    <font>
      <sz val="24"/>
      <color theme="3"/>
      <name val="Abadi"/>
      <family val="2"/>
    </font>
    <font>
      <i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4999847407452621"/>
        <bgColor rgb="FF45818E"/>
      </patternFill>
    </fill>
    <fill>
      <patternFill patternType="solid">
        <fgColor theme="2"/>
        <bgColor rgb="FFFFFFFF"/>
      </patternFill>
    </fill>
    <fill>
      <patternFill patternType="solid">
        <fgColor theme="2" tint="-4.9989318521683403E-2"/>
        <bgColor rgb="FF3C78D8"/>
      </patternFill>
    </fill>
  </fills>
  <borders count="68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2" tint="-0.14999847407452621"/>
      </left>
      <right/>
      <top/>
      <bottom/>
      <diagonal/>
    </border>
    <border>
      <left/>
      <right/>
      <top style="thin">
        <color theme="2" tint="-0.1499984740745262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theme="2" tint="-4.9989318521683403E-2"/>
      </left>
      <right style="thin">
        <color theme="2" tint="-0.14999847407452621"/>
      </right>
      <top style="thin">
        <color indexed="64"/>
      </top>
      <bottom style="thin">
        <color theme="2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2" tint="-0.14999847407452621"/>
      </bottom>
      <diagonal/>
    </border>
    <border>
      <left/>
      <right/>
      <top style="thin">
        <color theme="2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2" tint="-0.149998474074526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 tint="-0.1499984740745262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14999847407452621"/>
      </right>
      <top style="medium">
        <color theme="1" tint="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 tint="0.14999847407452621"/>
      </top>
      <bottom style="thin">
        <color theme="0" tint="-0.14999847407452621"/>
      </bottom>
      <diagonal/>
    </border>
    <border>
      <left/>
      <right/>
      <top style="medium">
        <color theme="1" tint="0.14999847407452621"/>
      </top>
      <bottom/>
      <diagonal/>
    </border>
    <border>
      <left style="thin">
        <color theme="0" tint="-0.14999847407452621"/>
      </left>
      <right/>
      <top style="medium">
        <color theme="1" tint="0.14999847407452621"/>
      </top>
      <bottom style="thin">
        <color theme="2" tint="-0.14999847407452621"/>
      </bottom>
      <diagonal/>
    </border>
    <border>
      <left/>
      <right style="thin">
        <color theme="2" tint="-0.14999847407452621"/>
      </right>
      <top/>
      <bottom/>
      <diagonal/>
    </border>
    <border>
      <left style="thin">
        <color theme="2" tint="-0.14999847407452621"/>
      </left>
      <right/>
      <top/>
      <bottom style="thin">
        <color theme="2" tint="-0.14999847407452621"/>
      </bottom>
      <diagonal/>
    </border>
    <border>
      <left/>
      <right style="thin">
        <color theme="2" tint="-0.14999847407452621"/>
      </right>
      <top style="thin">
        <color theme="2" tint="-0.14999847407452621"/>
      </top>
      <bottom/>
      <diagonal/>
    </border>
    <border>
      <left style="thin">
        <color theme="2" tint="-0.14999847407452621"/>
      </left>
      <right/>
      <top style="thin">
        <color theme="2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 style="medium">
        <color theme="1" tint="0.14999847407452621"/>
      </top>
      <bottom/>
      <diagonal/>
    </border>
    <border>
      <left/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2" tint="-0.14999847407452621"/>
      </left>
      <right/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/>
      <right/>
      <top/>
      <bottom style="medium">
        <color theme="1" tint="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 tint="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 tint="0.14999847407452621"/>
      </bottom>
      <diagonal/>
    </border>
    <border>
      <left/>
      <right style="medium">
        <color theme="1" tint="0.14999847407452621"/>
      </right>
      <top/>
      <bottom style="medium">
        <color theme="1" tint="0.14999847407452621"/>
      </bottom>
      <diagonal/>
    </border>
    <border>
      <left/>
      <right style="thin">
        <color theme="2" tint="-0.14999847407452621"/>
      </right>
      <top style="thin">
        <color theme="0" tint="-0.14999847407452621"/>
      </top>
      <bottom style="medium">
        <color theme="1" tint="0.14999847407452621"/>
      </bottom>
      <diagonal/>
    </border>
    <border>
      <left style="thin">
        <color theme="2" tint="-0.14999847407452621"/>
      </left>
      <right/>
      <top style="thin">
        <color theme="2" tint="-0.14999847407452621"/>
      </top>
      <bottom style="medium">
        <color theme="1" tint="0.14999847407452621"/>
      </bottom>
      <diagonal/>
    </border>
    <border>
      <left/>
      <right style="thin">
        <color theme="2" tint="-0.14999847407452621"/>
      </right>
      <top style="medium">
        <color theme="1" tint="0.14999847407452621"/>
      </top>
      <bottom style="thin">
        <color theme="2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2" tint="-0.14999847407452621"/>
      </top>
      <bottom/>
      <diagonal/>
    </border>
    <border>
      <left/>
      <right style="thin">
        <color theme="2" tint="-0.14999847407452621"/>
      </right>
      <top style="medium">
        <color theme="1" tint="0.14999847407452621"/>
      </top>
      <bottom/>
      <diagonal/>
    </border>
    <border>
      <left style="thin">
        <color theme="2" tint="-0.14999847407452621"/>
      </left>
      <right/>
      <top style="medium">
        <color theme="1" tint="0.14999847407452621"/>
      </top>
      <bottom/>
      <diagonal/>
    </border>
    <border>
      <left/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/>
      <top style="thin">
        <color rgb="FF999999"/>
      </top>
      <bottom style="medium">
        <color theme="1" tint="0.14999847407452621"/>
      </bottom>
      <diagonal/>
    </border>
    <border>
      <left/>
      <right/>
      <top style="medium">
        <color theme="2" tint="-0.14999847407452621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14" fontId="5" fillId="0" borderId="0" xfId="0" applyNumberFormat="1" applyFont="1"/>
    <xf numFmtId="0" fontId="6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 applyAlignment="1">
      <alignment horizontal="right"/>
    </xf>
    <xf numFmtId="9" fontId="6" fillId="0" borderId="0" xfId="0" applyNumberFormat="1" applyFont="1" applyAlignment="1">
      <alignment horizontal="right"/>
    </xf>
    <xf numFmtId="0" fontId="0" fillId="0" borderId="12" xfId="0" applyBorder="1"/>
    <xf numFmtId="0" fontId="0" fillId="0" borderId="14" xfId="0" applyBorder="1"/>
    <xf numFmtId="0" fontId="0" fillId="0" borderId="16" xfId="0" applyBorder="1"/>
    <xf numFmtId="0" fontId="9" fillId="0" borderId="0" xfId="0" applyFont="1"/>
    <xf numFmtId="0" fontId="4" fillId="0" borderId="0" xfId="0" applyFont="1" applyAlignment="1">
      <alignment vertical="center"/>
    </xf>
    <xf numFmtId="0" fontId="4" fillId="0" borderId="18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2" fillId="0" borderId="0" xfId="0" applyFont="1"/>
    <xf numFmtId="0" fontId="9" fillId="0" borderId="19" xfId="0" applyFont="1" applyBorder="1" applyAlignment="1">
      <alignment horizontal="center"/>
    </xf>
    <xf numFmtId="0" fontId="9" fillId="0" borderId="19" xfId="0" applyFont="1" applyBorder="1"/>
    <xf numFmtId="0" fontId="0" fillId="0" borderId="28" xfId="0" applyBorder="1"/>
    <xf numFmtId="0" fontId="11" fillId="5" borderId="30" xfId="0" applyFont="1" applyFill="1" applyBorder="1"/>
    <xf numFmtId="0" fontId="0" fillId="0" borderId="29" xfId="0" applyBorder="1"/>
    <xf numFmtId="0" fontId="11" fillId="5" borderId="31" xfId="0" applyFont="1" applyFill="1" applyBorder="1"/>
    <xf numFmtId="0" fontId="9" fillId="6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top"/>
    </xf>
    <xf numFmtId="164" fontId="0" fillId="0" borderId="13" xfId="0" applyNumberFormat="1" applyBorder="1"/>
    <xf numFmtId="164" fontId="0" fillId="0" borderId="15" xfId="0" applyNumberFormat="1" applyBorder="1"/>
    <xf numFmtId="164" fontId="0" fillId="0" borderId="17" xfId="0" applyNumberFormat="1" applyBorder="1"/>
    <xf numFmtId="0" fontId="9" fillId="0" borderId="34" xfId="0" applyFont="1" applyBorder="1" applyAlignment="1">
      <alignment horizontal="center"/>
    </xf>
    <xf numFmtId="0" fontId="4" fillId="0" borderId="34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0" fillId="2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2" borderId="46" xfId="0" applyFill="1" applyBorder="1" applyAlignment="1">
      <alignment vertical="center"/>
    </xf>
    <xf numFmtId="0" fontId="0" fillId="0" borderId="40" xfId="0" applyBorder="1"/>
    <xf numFmtId="0" fontId="17" fillId="3" borderId="0" xfId="0" applyFont="1" applyFill="1"/>
    <xf numFmtId="0" fontId="18" fillId="3" borderId="0" xfId="0" applyFont="1" applyFill="1"/>
    <xf numFmtId="0" fontId="17" fillId="3" borderId="50" xfId="0" applyFont="1" applyFill="1" applyBorder="1"/>
    <xf numFmtId="0" fontId="5" fillId="0" borderId="40" xfId="0" applyFont="1" applyBorder="1"/>
    <xf numFmtId="0" fontId="18" fillId="3" borderId="50" xfId="0" applyFont="1" applyFill="1" applyBorder="1"/>
    <xf numFmtId="0" fontId="4" fillId="5" borderId="0" xfId="0" applyFont="1" applyFill="1" applyAlignment="1">
      <alignment vertical="center" wrapText="1"/>
    </xf>
    <xf numFmtId="0" fontId="4" fillId="5" borderId="44" xfId="0" applyFont="1" applyFill="1" applyBorder="1" applyAlignment="1">
      <alignment vertical="center"/>
    </xf>
    <xf numFmtId="0" fontId="4" fillId="5" borderId="42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4" fillId="5" borderId="28" xfId="0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4" fillId="5" borderId="48" xfId="0" applyFont="1" applyFill="1" applyBorder="1" applyAlignment="1">
      <alignment vertical="center"/>
    </xf>
    <xf numFmtId="0" fontId="4" fillId="5" borderId="47" xfId="0" applyFont="1" applyFill="1" applyBorder="1" applyAlignment="1">
      <alignment vertical="center"/>
    </xf>
    <xf numFmtId="0" fontId="4" fillId="5" borderId="49" xfId="0" applyFont="1" applyFill="1" applyBorder="1" applyAlignment="1">
      <alignment vertical="center" wrapText="1"/>
    </xf>
    <xf numFmtId="0" fontId="4" fillId="5" borderId="35" xfId="0" applyFont="1" applyFill="1" applyBorder="1" applyAlignment="1">
      <alignment vertical="center"/>
    </xf>
    <xf numFmtId="0" fontId="4" fillId="5" borderId="43" xfId="0" applyFont="1" applyFill="1" applyBorder="1" applyAlignment="1">
      <alignment vertical="center"/>
    </xf>
    <xf numFmtId="0" fontId="9" fillId="3" borderId="54" xfId="0" applyFont="1" applyFill="1" applyBorder="1" applyAlignment="1">
      <alignment horizontal="left" vertical="center"/>
    </xf>
    <xf numFmtId="0" fontId="9" fillId="3" borderId="55" xfId="0" applyFont="1" applyFill="1" applyBorder="1" applyAlignment="1">
      <alignment horizontal="left" vertical="center"/>
    </xf>
    <xf numFmtId="0" fontId="9" fillId="3" borderId="57" xfId="0" applyFont="1" applyFill="1" applyBorder="1"/>
    <xf numFmtId="0" fontId="4" fillId="5" borderId="56" xfId="0" applyFont="1" applyFill="1" applyBorder="1" applyAlignment="1">
      <alignment vertical="center" wrapText="1"/>
    </xf>
    <xf numFmtId="0" fontId="4" fillId="5" borderId="28" xfId="0" applyFont="1" applyFill="1" applyBorder="1" applyAlignment="1">
      <alignment vertical="top" wrapText="1"/>
    </xf>
    <xf numFmtId="0" fontId="9" fillId="3" borderId="52" xfId="0" applyFont="1" applyFill="1" applyBorder="1"/>
    <xf numFmtId="0" fontId="9" fillId="3" borderId="44" xfId="0" applyFont="1" applyFill="1" applyBorder="1" applyAlignment="1">
      <alignment vertical="center"/>
    </xf>
    <xf numFmtId="0" fontId="4" fillId="5" borderId="58" xfId="0" applyFont="1" applyFill="1" applyBorder="1" applyAlignment="1">
      <alignment vertical="center"/>
    </xf>
    <xf numFmtId="0" fontId="9" fillId="3" borderId="45" xfId="0" applyFont="1" applyFill="1" applyBorder="1" applyAlignment="1">
      <alignment vertical="center"/>
    </xf>
    <xf numFmtId="0" fontId="4" fillId="5" borderId="59" xfId="0" applyFont="1" applyFill="1" applyBorder="1" applyAlignment="1">
      <alignment vertical="center"/>
    </xf>
    <xf numFmtId="0" fontId="2" fillId="7" borderId="32" xfId="0" applyFont="1" applyFill="1" applyBorder="1"/>
    <xf numFmtId="0" fontId="2" fillId="7" borderId="39" xfId="0" applyFont="1" applyFill="1" applyBorder="1"/>
    <xf numFmtId="0" fontId="2" fillId="7" borderId="39" xfId="0" applyFont="1" applyFill="1" applyBorder="1" applyAlignment="1">
      <alignment horizontal="center"/>
    </xf>
    <xf numFmtId="0" fontId="2" fillId="7" borderId="19" xfId="0" applyFont="1" applyFill="1" applyBorder="1"/>
    <xf numFmtId="0" fontId="2" fillId="7" borderId="19" xfId="0" applyFont="1" applyFill="1" applyBorder="1" applyAlignment="1">
      <alignment horizontal="center"/>
    </xf>
    <xf numFmtId="0" fontId="2" fillId="7" borderId="23" xfId="0" applyFont="1" applyFill="1" applyBorder="1"/>
    <xf numFmtId="0" fontId="2" fillId="7" borderId="23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left"/>
    </xf>
    <xf numFmtId="0" fontId="2" fillId="5" borderId="24" xfId="0" applyFont="1" applyFill="1" applyBorder="1"/>
    <xf numFmtId="0" fontId="1" fillId="5" borderId="24" xfId="0" applyFont="1" applyFill="1" applyBorder="1" applyAlignment="1">
      <alignment horizontal="center"/>
    </xf>
    <xf numFmtId="0" fontId="10" fillId="5" borderId="24" xfId="0" applyFont="1" applyFill="1" applyBorder="1"/>
    <xf numFmtId="0" fontId="2" fillId="7" borderId="21" xfId="0" applyFont="1" applyFill="1" applyBorder="1"/>
    <xf numFmtId="0" fontId="2" fillId="7" borderId="21" xfId="0" applyFont="1" applyFill="1" applyBorder="1" applyAlignment="1">
      <alignment horizontal="center"/>
    </xf>
    <xf numFmtId="0" fontId="2" fillId="5" borderId="21" xfId="0" applyFont="1" applyFill="1" applyBorder="1"/>
    <xf numFmtId="0" fontId="2" fillId="5" borderId="21" xfId="0" applyFont="1" applyFill="1" applyBorder="1" applyAlignment="1">
      <alignment horizontal="center"/>
    </xf>
    <xf numFmtId="0" fontId="10" fillId="5" borderId="21" xfId="0" applyFont="1" applyFill="1" applyBorder="1"/>
    <xf numFmtId="0" fontId="2" fillId="5" borderId="19" xfId="0" applyFont="1" applyFill="1" applyBorder="1"/>
    <xf numFmtId="0" fontId="2" fillId="5" borderId="19" xfId="0" applyFont="1" applyFill="1" applyBorder="1" applyAlignment="1">
      <alignment horizontal="center"/>
    </xf>
    <xf numFmtId="0" fontId="10" fillId="5" borderId="19" xfId="0" applyFont="1" applyFill="1" applyBorder="1"/>
    <xf numFmtId="0" fontId="2" fillId="5" borderId="22" xfId="0" applyFont="1" applyFill="1" applyBorder="1"/>
    <xf numFmtId="0" fontId="2" fillId="5" borderId="33" xfId="0" applyFont="1" applyFill="1" applyBorder="1"/>
    <xf numFmtId="0" fontId="2" fillId="5" borderId="22" xfId="0" applyFont="1" applyFill="1" applyBorder="1" applyAlignment="1">
      <alignment horizontal="center"/>
    </xf>
    <xf numFmtId="0" fontId="10" fillId="5" borderId="22" xfId="0" applyFont="1" applyFill="1" applyBorder="1"/>
    <xf numFmtId="0" fontId="16" fillId="3" borderId="22" xfId="0" applyFont="1" applyFill="1" applyBorder="1" applyAlignment="1">
      <alignment horizontal="center"/>
    </xf>
    <xf numFmtId="0" fontId="16" fillId="3" borderId="52" xfId="0" applyFont="1" applyFill="1" applyBorder="1" applyAlignment="1">
      <alignment horizontal="center"/>
    </xf>
    <xf numFmtId="0" fontId="2" fillId="5" borderId="40" xfId="0" applyFont="1" applyFill="1" applyBorder="1" applyAlignment="1">
      <alignment horizontal="left"/>
    </xf>
    <xf numFmtId="0" fontId="2" fillId="5" borderId="40" xfId="0" applyFont="1" applyFill="1" applyBorder="1" applyAlignment="1">
      <alignment horizontal="right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right"/>
    </xf>
    <xf numFmtId="0" fontId="2" fillId="5" borderId="35" xfId="0" applyFont="1" applyFill="1" applyBorder="1" applyAlignment="1">
      <alignment horizontal="right"/>
    </xf>
    <xf numFmtId="0" fontId="19" fillId="3" borderId="0" xfId="0" applyFont="1" applyFill="1"/>
    <xf numFmtId="0" fontId="9" fillId="4" borderId="40" xfId="0" applyFont="1" applyFill="1" applyBorder="1" applyAlignment="1">
      <alignment horizontal="center"/>
    </xf>
    <xf numFmtId="0" fontId="9" fillId="4" borderId="60" xfId="0" applyFont="1" applyFill="1" applyBorder="1" applyAlignment="1">
      <alignment horizontal="center"/>
    </xf>
    <xf numFmtId="0" fontId="2" fillId="0" borderId="40" xfId="0" applyFont="1" applyBorder="1"/>
    <xf numFmtId="0" fontId="23" fillId="2" borderId="0" xfId="0" applyFont="1" applyFill="1" applyAlignment="1">
      <alignment vertical="center"/>
    </xf>
    <xf numFmtId="0" fontId="23" fillId="2" borderId="1" xfId="0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0" fontId="23" fillId="2" borderId="7" xfId="0" applyFont="1" applyFill="1" applyBorder="1" applyAlignment="1">
      <alignment vertical="center"/>
    </xf>
    <xf numFmtId="0" fontId="12" fillId="4" borderId="12" xfId="0" applyFont="1" applyFill="1" applyBorder="1"/>
    <xf numFmtId="0" fontId="12" fillId="4" borderId="13" xfId="0" applyFont="1" applyFill="1" applyBorder="1"/>
    <xf numFmtId="0" fontId="0" fillId="0" borderId="13" xfId="0" applyBorder="1"/>
    <xf numFmtId="0" fontId="3" fillId="4" borderId="12" xfId="0" applyFont="1" applyFill="1" applyBorder="1"/>
    <xf numFmtId="0" fontId="21" fillId="8" borderId="0" xfId="0" applyFont="1" applyFill="1" applyAlignment="1">
      <alignment horizontal="center" vertical="center"/>
    </xf>
    <xf numFmtId="0" fontId="0" fillId="0" borderId="12" xfId="0" pivotButton="1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22" fillId="2" borderId="0" xfId="0" applyFont="1" applyFill="1" applyAlignment="1">
      <alignment vertical="center"/>
    </xf>
    <xf numFmtId="0" fontId="0" fillId="3" borderId="0" xfId="0" applyFill="1"/>
    <xf numFmtId="0" fontId="29" fillId="2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5" fillId="3" borderId="67" xfId="0" applyFont="1" applyFill="1" applyBorder="1"/>
    <xf numFmtId="0" fontId="15" fillId="3" borderId="50" xfId="0" applyFont="1" applyFill="1" applyBorder="1" applyAlignment="1">
      <alignment horizontal="left" vertical="center"/>
    </xf>
    <xf numFmtId="0" fontId="15" fillId="3" borderId="53" xfId="0" applyFont="1" applyFill="1" applyBorder="1" applyAlignment="1">
      <alignment horizontal="left" vertical="center"/>
    </xf>
    <xf numFmtId="0" fontId="4" fillId="5" borderId="28" xfId="0" applyFont="1" applyFill="1" applyBorder="1" applyAlignment="1">
      <alignment horizontal="left" vertical="center" wrapText="1"/>
    </xf>
    <xf numFmtId="0" fontId="4" fillId="5" borderId="43" xfId="0" applyFont="1" applyFill="1" applyBorder="1" applyAlignment="1">
      <alignment horizontal="left" vertical="center" wrapText="1"/>
    </xf>
    <xf numFmtId="0" fontId="15" fillId="3" borderId="36" xfId="0" applyFont="1" applyFill="1" applyBorder="1" applyAlignment="1">
      <alignment horizontal="left" vertical="center"/>
    </xf>
    <xf numFmtId="0" fontId="15" fillId="3" borderId="37" xfId="0" applyFont="1" applyFill="1" applyBorder="1" applyAlignment="1">
      <alignment horizontal="left" vertical="center"/>
    </xf>
    <xf numFmtId="0" fontId="15" fillId="3" borderId="20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30" fillId="3" borderId="67" xfId="0" applyFont="1" applyFill="1" applyBorder="1" applyAlignment="1">
      <alignment horizontal="left" vertical="center"/>
    </xf>
    <xf numFmtId="0" fontId="2" fillId="7" borderId="51" xfId="0" applyFont="1" applyFill="1" applyBorder="1" applyAlignment="1">
      <alignment horizontal="left" vertical="center"/>
    </xf>
    <xf numFmtId="0" fontId="10" fillId="5" borderId="27" xfId="0" applyFont="1" applyFill="1" applyBorder="1"/>
    <xf numFmtId="0" fontId="10" fillId="5" borderId="25" xfId="0" applyFont="1" applyFill="1" applyBorder="1"/>
    <xf numFmtId="0" fontId="2" fillId="7" borderId="26" xfId="0" applyFont="1" applyFill="1" applyBorder="1" applyAlignment="1">
      <alignment horizontal="left" vertical="center"/>
    </xf>
    <xf numFmtId="0" fontId="2" fillId="5" borderId="26" xfId="0" applyFont="1" applyFill="1" applyBorder="1" applyAlignment="1">
      <alignment horizontal="left" vertical="center"/>
    </xf>
    <xf numFmtId="0" fontId="16" fillId="3" borderId="0" xfId="0" applyFont="1" applyFill="1" applyAlignment="1">
      <alignment horizontal="left"/>
    </xf>
    <xf numFmtId="0" fontId="16" fillId="3" borderId="0" xfId="0" applyFont="1" applyFill="1" applyAlignment="1">
      <alignment horizontal="center"/>
    </xf>
    <xf numFmtId="0" fontId="20" fillId="3" borderId="50" xfId="0" applyFont="1" applyFill="1" applyBorder="1" applyAlignment="1">
      <alignment horizontal="left" vertical="center"/>
    </xf>
    <xf numFmtId="0" fontId="16" fillId="3" borderId="50" xfId="0" applyFont="1" applyFill="1" applyBorder="1" applyAlignment="1">
      <alignment horizontal="left"/>
    </xf>
    <xf numFmtId="0" fontId="16" fillId="3" borderId="61" xfId="0" applyFont="1" applyFill="1" applyBorder="1" applyAlignment="1">
      <alignment horizontal="left"/>
    </xf>
    <xf numFmtId="0" fontId="21" fillId="8" borderId="62" xfId="0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4" fillId="2" borderId="2" xfId="0" applyFont="1" applyFill="1" applyBorder="1" applyAlignment="1">
      <alignment vertical="top"/>
    </xf>
    <xf numFmtId="0" fontId="25" fillId="2" borderId="3" xfId="0" applyFont="1" applyFill="1" applyBorder="1"/>
    <xf numFmtId="0" fontId="25" fillId="2" borderId="11" xfId="0" applyFont="1" applyFill="1" applyBorder="1"/>
    <xf numFmtId="0" fontId="26" fillId="2" borderId="0" xfId="0" applyFont="1" applyFill="1"/>
    <xf numFmtId="0" fontId="25" fillId="2" borderId="5" xfId="0" applyFont="1" applyFill="1" applyBorder="1"/>
    <xf numFmtId="0" fontId="25" fillId="2" borderId="6" xfId="0" applyFont="1" applyFill="1" applyBorder="1"/>
    <xf numFmtId="0" fontId="25" fillId="2" borderId="4" xfId="0" applyFont="1" applyFill="1" applyBorder="1"/>
    <xf numFmtId="0" fontId="25" fillId="2" borderId="1" xfId="0" applyFont="1" applyFill="1" applyBorder="1"/>
    <xf numFmtId="0" fontId="25" fillId="2" borderId="7" xfId="0" applyFont="1" applyFill="1" applyBorder="1"/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1" fontId="14" fillId="2" borderId="2" xfId="0" applyNumberFormat="1" applyFont="1" applyFill="1" applyBorder="1" applyAlignment="1">
      <alignment horizontal="center" vertical="center"/>
    </xf>
    <xf numFmtId="1" fontId="14" fillId="2" borderId="3" xfId="0" applyNumberFormat="1" applyFont="1" applyFill="1" applyBorder="1" applyAlignment="1">
      <alignment horizontal="center" vertical="center"/>
    </xf>
    <xf numFmtId="1" fontId="14" fillId="2" borderId="4" xfId="0" applyNumberFormat="1" applyFont="1" applyFill="1" applyBorder="1" applyAlignment="1">
      <alignment horizontal="center" vertical="center"/>
    </xf>
    <xf numFmtId="1" fontId="14" fillId="2" borderId="5" xfId="0" applyNumberFormat="1" applyFont="1" applyFill="1" applyBorder="1" applyAlignment="1">
      <alignment horizontal="center" vertical="center"/>
    </xf>
    <xf numFmtId="1" fontId="14" fillId="2" borderId="6" xfId="0" applyNumberFormat="1" applyFont="1" applyFill="1" applyBorder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vertical="center"/>
    </xf>
    <xf numFmtId="0" fontId="24" fillId="2" borderId="3" xfId="0" applyFont="1" applyFill="1" applyBorder="1" applyAlignment="1">
      <alignment vertical="center"/>
    </xf>
    <xf numFmtId="0" fontId="24" fillId="2" borderId="4" xfId="0" applyFont="1" applyFill="1" applyBorder="1" applyAlignment="1">
      <alignment vertical="center"/>
    </xf>
    <xf numFmtId="0" fontId="24" fillId="2" borderId="11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4" fillId="2" borderId="1" xfId="0" applyFont="1" applyFill="1" applyBorder="1" applyAlignment="1">
      <alignment vertical="center"/>
    </xf>
    <xf numFmtId="0" fontId="24" fillId="2" borderId="5" xfId="0" applyFont="1" applyFill="1" applyBorder="1" applyAlignment="1">
      <alignment vertical="center"/>
    </xf>
    <xf numFmtId="0" fontId="24" fillId="2" borderId="6" xfId="0" applyFont="1" applyFill="1" applyBorder="1" applyAlignment="1">
      <alignment vertical="center"/>
    </xf>
    <xf numFmtId="0" fontId="24" fillId="2" borderId="7" xfId="0" applyFont="1" applyFill="1" applyBorder="1" applyAlignment="1">
      <alignment vertical="center"/>
    </xf>
    <xf numFmtId="0" fontId="0" fillId="2" borderId="0" xfId="0" applyFill="1"/>
    <xf numFmtId="0" fontId="27" fillId="8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0" fillId="0" borderId="12" xfId="0" applyNumberFormat="1" applyBorder="1"/>
    <xf numFmtId="0" fontId="0" fillId="0" borderId="65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0" xfId="0" applyNumberFormat="1"/>
    <xf numFmtId="0" fontId="0" fillId="0" borderId="15" xfId="0" applyNumberFormat="1" applyBorder="1"/>
    <xf numFmtId="0" fontId="0" fillId="0" borderId="16" xfId="0" applyNumberFormat="1" applyBorder="1"/>
    <xf numFmtId="0" fontId="0" fillId="0" borderId="6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65"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ont>
        <b/>
        <family val="2"/>
      </font>
    </dxf>
    <dxf>
      <font>
        <b/>
        <family val="2"/>
      </font>
    </dxf>
    <dxf>
      <numFmt numFmtId="164" formatCode="0.0"/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ont>
        <color theme="1"/>
      </font>
    </dxf>
    <dxf>
      <font>
        <color theme="1"/>
      </font>
    </dxf>
    <dxf>
      <font>
        <b/>
      </font>
    </dxf>
    <dxf>
      <font>
        <b/>
      </font>
    </dxf>
    <dxf>
      <fill>
        <patternFill patternType="solid">
          <fgColor rgb="FFF9E3E3"/>
          <bgColor theme="6" tint="-0.24994659260841701"/>
        </patternFill>
      </fill>
    </dxf>
    <dxf>
      <fill>
        <patternFill>
          <fgColor theme="9" tint="0.79989013336588644"/>
          <bgColor rgb="FF31D38A"/>
        </patternFill>
      </fill>
    </dxf>
    <dxf>
      <fill>
        <patternFill patternType="solid">
          <fgColor rgb="FFEA9999"/>
          <bgColor rgb="FFEA9999"/>
        </patternFill>
      </fill>
    </dxf>
    <dxf>
      <font>
        <b/>
      </font>
    </dxf>
    <dxf>
      <font>
        <b/>
      </font>
    </dxf>
    <dxf>
      <font>
        <color theme="1"/>
      </font>
    </dxf>
    <dxf>
      <font>
        <color theme="1"/>
      </font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numFmt numFmtId="164" formatCode="0.0"/>
    </dxf>
    <dxf>
      <font>
        <b/>
        <family val="2"/>
      </font>
    </dxf>
    <dxf>
      <font>
        <b/>
        <family val="2"/>
      </font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solid">
          <bgColor theme="2" tint="-0.14999847407452621"/>
        </patternFill>
      </fill>
    </dxf>
    <dxf>
      <fill>
        <patternFill patternType="solid">
          <bgColor theme="2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/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/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colors>
    <mruColors>
      <color rgb="FF31D38A"/>
      <color rgb="FF2358AF"/>
      <color rgb="FF8DE7BE"/>
      <color rgb="FF9AEAC6"/>
      <color rgb="FFF6B8B0"/>
      <color rgb="FFF9E3E3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7.2564899368791347E-2"/>
          <c:y val="7.14723926380368E-2"/>
          <c:w val="0.76669129897831612"/>
          <c:h val="0.70674846625766863"/>
        </c:manualLayout>
      </c:layout>
      <c:lineChart>
        <c:grouping val="standard"/>
        <c:varyColors val="1"/>
        <c:ser>
          <c:idx val="0"/>
          <c:order val="0"/>
          <c:tx>
            <c:v>Incoming</c:v>
          </c:tx>
          <c:spPr>
            <a:ln w="38100" cmpd="sng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dLbl>
              <c:idx val="1"/>
              <c:layout>
                <c:manualLayout>
                  <c:x val="-1.6721806468406344E-2"/>
                  <c:y val="-8.205128205128279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5D-44A2-85D4-677AB8E70F49}"/>
                </c:ext>
              </c:extLst>
            </c:dLbl>
            <c:dLbl>
              <c:idx val="2"/>
              <c:layout>
                <c:manualLayout>
                  <c:x val="-1.6721806468406326E-2"/>
                  <c:y val="-8.205128205128279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5D-44A2-85D4-677AB8E70F49}"/>
                </c:ext>
              </c:extLst>
            </c:dLbl>
            <c:dLbl>
              <c:idx val="3"/>
              <c:layout>
                <c:manualLayout>
                  <c:x val="-1.6721806468406326E-2"/>
                  <c:y val="-8.205128205128279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B5D-44A2-85D4-677AB8E70F49}"/>
                </c:ext>
              </c:extLst>
            </c:dLbl>
            <c:dLbl>
              <c:idx val="4"/>
              <c:layout>
                <c:manualLayout>
                  <c:x val="-1.6721806468406365E-2"/>
                  <c:y val="-8.205128205128205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5D-44A2-85D4-677AB8E70F49}"/>
                </c:ext>
              </c:extLst>
            </c:dLbl>
            <c:dLbl>
              <c:idx val="5"/>
              <c:layout>
                <c:manualLayout>
                  <c:x val="-1.6721806468406326E-2"/>
                  <c:y val="-1.2307692307692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B5D-44A2-85D4-677AB8E70F49}"/>
                </c:ext>
              </c:extLst>
            </c:dLbl>
            <c:dLbl>
              <c:idx val="8"/>
              <c:layout>
                <c:manualLayout>
                  <c:x val="-1.6721806468406406E-2"/>
                  <c:y val="-1.2307692307692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B5D-44A2-85D4-677AB8E70F49}"/>
                </c:ext>
              </c:extLst>
            </c:dLbl>
            <c:dLbl>
              <c:idx val="9"/>
              <c:layout>
                <c:manualLayout>
                  <c:x val="-1.6721806468406326E-2"/>
                  <c:y val="-4.10256410256417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5D-44A2-85D4-677AB8E70F49}"/>
                </c:ext>
              </c:extLst>
            </c:dLbl>
            <c:dLbl>
              <c:idx val="10"/>
              <c:layout>
                <c:manualLayout>
                  <c:x val="-1.6721806468406406E-2"/>
                  <c:y val="-8.205128205128279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B5D-44A2-85D4-677AB8E70F49}"/>
                </c:ext>
              </c:extLst>
            </c:dLbl>
            <c:dLbl>
              <c:idx val="11"/>
              <c:layout>
                <c:manualLayout>
                  <c:x val="-1.6721806468406326E-2"/>
                  <c:y val="-4.10256410256410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B5D-44A2-85D4-677AB8E70F49}"/>
                </c:ext>
              </c:extLst>
            </c:dLbl>
            <c:dLbl>
              <c:idx val="12"/>
              <c:layout>
                <c:manualLayout>
                  <c:x val="-1.6721806468406326E-2"/>
                  <c:y val="-4.10256410256410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B5D-44A2-85D4-677AB8E70F49}"/>
                </c:ext>
              </c:extLst>
            </c:dLbl>
            <c:dLbl>
              <c:idx val="13"/>
              <c:layout>
                <c:manualLayout>
                  <c:x val="-1.4146070584152187E-2"/>
                  <c:y val="-5.74358974358975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5D-44A2-85D4-677AB8E70F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0">
                    <a:latin typeface="Arial"/>
                  </a:defRPr>
                </a:pPr>
                <a:endParaRPr lang="es-C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'04_Analysis'!$G$5:$G$18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'04_Analysis'!$H$5:$H$18</c:f>
              <c:numCache>
                <c:formatCode>General</c:formatCode>
                <c:ptCount val="14"/>
                <c:pt idx="0">
                  <c:v>31</c:v>
                </c:pt>
                <c:pt idx="1">
                  <c:v>36</c:v>
                </c:pt>
                <c:pt idx="2">
                  <c:v>29</c:v>
                </c:pt>
                <c:pt idx="3">
                  <c:v>27</c:v>
                </c:pt>
                <c:pt idx="4">
                  <c:v>34</c:v>
                </c:pt>
                <c:pt idx="5">
                  <c:v>33</c:v>
                </c:pt>
                <c:pt idx="6">
                  <c:v>32</c:v>
                </c:pt>
                <c:pt idx="7">
                  <c:v>32</c:v>
                </c:pt>
                <c:pt idx="8">
                  <c:v>21</c:v>
                </c:pt>
                <c:pt idx="9">
                  <c:v>36</c:v>
                </c:pt>
                <c:pt idx="10">
                  <c:v>27</c:v>
                </c:pt>
                <c:pt idx="11">
                  <c:v>32</c:v>
                </c:pt>
                <c:pt idx="12">
                  <c:v>29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AA-4014-99AF-87925FDCB579}"/>
            </c:ext>
          </c:extLst>
        </c:ser>
        <c:ser>
          <c:idx val="1"/>
          <c:order val="1"/>
          <c:tx>
            <c:v>Completed</c:v>
          </c:tx>
          <c:spPr>
            <a:ln w="38100" cmpd="sng">
              <a:solidFill>
                <a:srgbClr val="31D38A"/>
              </a:solidFill>
            </a:ln>
          </c:spPr>
          <c:marker>
            <c:symbol val="none"/>
          </c:marker>
          <c:dLbls>
            <c:dLbl>
              <c:idx val="13"/>
              <c:layout>
                <c:manualLayout>
                  <c:x val="-1.4146070584152187E-2"/>
                  <c:y val="1.6410256410256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5D-44A2-85D4-677AB8E70F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tIns="0"/>
              <a:lstStyle/>
              <a:p>
                <a:pPr lvl="0">
                  <a:defRPr sz="1200">
                    <a:latin typeface="Arial"/>
                  </a:defRPr>
                </a:pPr>
                <a:endParaRPr lang="es-C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'04_Analysis'!$G$5:$G$18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'04_Analysis'!$I$5:$I$18</c:f>
              <c:numCache>
                <c:formatCode>General</c:formatCode>
                <c:ptCount val="14"/>
                <c:pt idx="0">
                  <c:v>3</c:v>
                </c:pt>
                <c:pt idx="1">
                  <c:v>14</c:v>
                </c:pt>
                <c:pt idx="2">
                  <c:v>8</c:v>
                </c:pt>
                <c:pt idx="3">
                  <c:v>6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4</c:v>
                </c:pt>
                <c:pt idx="9">
                  <c:v>14</c:v>
                </c:pt>
                <c:pt idx="10">
                  <c:v>7</c:v>
                </c:pt>
                <c:pt idx="11">
                  <c:v>10</c:v>
                </c:pt>
                <c:pt idx="12">
                  <c:v>7</c:v>
                </c:pt>
                <c:pt idx="1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AA-4014-99AF-87925FDCB579}"/>
            </c:ext>
          </c:extLst>
        </c:ser>
        <c:ser>
          <c:idx val="2"/>
          <c:order val="2"/>
          <c:tx>
            <c:v>Backlog</c:v>
          </c:tx>
          <c:spPr>
            <a:ln w="19050" cmpd="sng">
              <a:solidFill>
                <a:srgbClr val="FF6F31"/>
              </a:solidFill>
              <a:prstDash val="dash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>
                    <a:latin typeface="Arial"/>
                  </a:defRPr>
                </a:pPr>
                <a:endParaRPr lang="es-C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'04_Analysis'!$G$5:$G$18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'04_Analysis'!$K$5:$K$18</c:f>
              <c:numCache>
                <c:formatCode>General</c:formatCode>
                <c:ptCount val="14"/>
                <c:pt idx="0">
                  <c:v>28</c:v>
                </c:pt>
                <c:pt idx="1">
                  <c:v>50</c:v>
                </c:pt>
                <c:pt idx="2">
                  <c:v>71</c:v>
                </c:pt>
                <c:pt idx="3">
                  <c:v>92</c:v>
                </c:pt>
                <c:pt idx="4">
                  <c:v>117</c:v>
                </c:pt>
                <c:pt idx="5">
                  <c:v>142</c:v>
                </c:pt>
                <c:pt idx="6">
                  <c:v>166</c:v>
                </c:pt>
                <c:pt idx="7">
                  <c:v>191</c:v>
                </c:pt>
                <c:pt idx="8">
                  <c:v>208</c:v>
                </c:pt>
                <c:pt idx="9">
                  <c:v>230</c:v>
                </c:pt>
                <c:pt idx="10">
                  <c:v>250</c:v>
                </c:pt>
                <c:pt idx="11">
                  <c:v>272</c:v>
                </c:pt>
                <c:pt idx="12">
                  <c:v>294</c:v>
                </c:pt>
                <c:pt idx="13">
                  <c:v>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AA-4014-99AF-87925FDCB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915687"/>
        <c:axId val="1603918219"/>
      </c:lineChart>
      <c:catAx>
        <c:axId val="1540915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R" sz="1400" b="0">
                    <a:solidFill>
                      <a:srgbClr val="000000"/>
                    </a:solidFill>
                    <a:latin typeface="+mn-lt"/>
                  </a:rPr>
                  <a:t>Analysis 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Arial"/>
              </a:defRPr>
            </a:pPr>
            <a:endParaRPr lang="es-CR"/>
          </a:p>
        </c:txPr>
        <c:crossAx val="1603918219"/>
        <c:crosses val="autoZero"/>
        <c:auto val="1"/>
        <c:lblAlgn val="ctr"/>
        <c:lblOffset val="100"/>
        <c:noMultiLvlLbl val="1"/>
      </c:catAx>
      <c:valAx>
        <c:axId val="1603918219"/>
        <c:scaling>
          <c:orientation val="minMax"/>
          <c:max val="300"/>
        </c:scaling>
        <c:delete val="0"/>
        <c:axPos val="l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CR" sz="1400" b="0">
                    <a:solidFill>
                      <a:srgbClr val="000000"/>
                    </a:solidFill>
                    <a:latin typeface="Arial"/>
                  </a:rPr>
                  <a:t>Tickets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Arial"/>
              </a:defRPr>
            </a:pPr>
            <a:endParaRPr lang="es-CR"/>
          </a:p>
        </c:txPr>
        <c:crossAx val="1540915687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  <a:endParaRPr lang="es-CR"/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  <a:endParaRPr lang="es-CR"/>
          </a:p>
        </c:txPr>
      </c:legendEntry>
      <c:legendEntry>
        <c:idx val="2"/>
        <c:txPr>
          <a:bodyPr/>
          <a:lstStyle/>
          <a:p>
            <a:pPr lvl="0">
              <a:defRPr sz="1400"/>
            </a:pPr>
            <a:endParaRPr lang="es-CR"/>
          </a:p>
        </c:txPr>
      </c:legendEntry>
      <c:layout>
        <c:manualLayout>
          <c:xMode val="edge"/>
          <c:yMode val="edge"/>
          <c:x val="0.87197800090854327"/>
          <c:y val="6.8246586186423902E-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s-CR"/>
        </a:p>
      </c:txPr>
    </c:legend>
    <c:plotVisOnly val="1"/>
    <c:dispBlanksAs val="zero"/>
    <c:showDLblsOverMax val="1"/>
  </c:chart>
  <c:spPr>
    <a:ln>
      <a:solidFill>
        <a:schemeClr val="bg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pivotSource>
    <c:name>[Ticket_Operations_Analysis.xlsx]04_Analysis!04_Analysis 4</c:name>
    <c:fmtId val="7"/>
  </c:pivotSource>
  <c:chart>
    <c:autoTitleDeleted val="1"/>
    <c:pivotFmts>
      <c:pivotFmt>
        <c:idx val="0"/>
        <c:spPr>
          <a:solidFill>
            <a:srgbClr val="2358AF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200"/>
              </a:pPr>
              <a:endParaRPr lang="es-C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1D38A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200"/>
              </a:pPr>
              <a:endParaRPr lang="es-C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'04_Analysis'!$E$22:$E$23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2358A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'04_Analysis'!$D$24:$D$27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'04_Analysis'!$E$24:$E$27</c:f>
              <c:numCache>
                <c:formatCode>General</c:formatCode>
                <c:ptCount val="3"/>
                <c:pt idx="0">
                  <c:v>46</c:v>
                </c:pt>
                <c:pt idx="1">
                  <c:v>70</c:v>
                </c:pt>
                <c:pt idx="2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D7-445E-A8BB-63053AA6CFF9}"/>
            </c:ext>
          </c:extLst>
        </c:ser>
        <c:ser>
          <c:idx val="1"/>
          <c:order val="1"/>
          <c:tx>
            <c:strRef>
              <c:f>'04_Analysis'!$F$22:$F$23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rgbClr val="31D38A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es-C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'04_Analysis'!$D$24:$D$27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'04_Analysis'!$F$24:$F$27</c:f>
              <c:numCache>
                <c:formatCode>General</c:formatCode>
                <c:ptCount val="3"/>
                <c:pt idx="0">
                  <c:v>35</c:v>
                </c:pt>
                <c:pt idx="1">
                  <c:v>26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D7-445E-A8BB-63053AA6C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4054725"/>
        <c:axId val="7701329"/>
      </c:barChart>
      <c:catAx>
        <c:axId val="904054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R" sz="1400" b="0">
                    <a:solidFill>
                      <a:srgbClr val="000000"/>
                    </a:solidFill>
                    <a:latin typeface="+mn-lt"/>
                  </a:rPr>
                  <a:t>Priority</a:t>
                </a:r>
              </a:p>
            </c:rich>
          </c:tx>
          <c:layout>
            <c:manualLayout>
              <c:xMode val="edge"/>
              <c:yMode val="edge"/>
              <c:x val="0.49583910825711863"/>
              <c:y val="0.8876946020340181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100" b="0">
                <a:solidFill>
                  <a:srgbClr val="000000"/>
                </a:solidFill>
                <a:latin typeface="+mn-lt"/>
              </a:defRPr>
            </a:pPr>
            <a:endParaRPr lang="es-CR"/>
          </a:p>
        </c:txPr>
        <c:crossAx val="7701329"/>
        <c:crosses val="autoZero"/>
        <c:auto val="1"/>
        <c:lblAlgn val="ctr"/>
        <c:lblOffset val="100"/>
        <c:noMultiLvlLbl val="1"/>
      </c:catAx>
      <c:valAx>
        <c:axId val="770132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R" sz="1400" b="0">
                    <a:solidFill>
                      <a:srgbClr val="000000"/>
                    </a:solidFill>
                    <a:latin typeface="+mn-lt"/>
                  </a:rPr>
                  <a:t>Tickets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R"/>
          </a:p>
        </c:txPr>
        <c:crossAx val="904054725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spPr>
    <a:ln>
      <a:solidFill>
        <a:schemeClr val="bg1"/>
      </a:solidFill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2358AF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/>
                </a:pPr>
                <a:endParaRPr lang="es-C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'04_Analysis'!$A$23:$A$24</c:f>
              <c:strCache>
                <c:ptCount val="2"/>
                <c:pt idx="0">
                  <c:v>Movie</c:v>
                </c:pt>
                <c:pt idx="1">
                  <c:v>Series</c:v>
                </c:pt>
              </c:strCache>
            </c:strRef>
          </c:cat>
          <c:val>
            <c:numRef>
              <c:f>'04_Analysis'!$B$23:$B$24</c:f>
              <c:numCache>
                <c:formatCode>0.0</c:formatCode>
                <c:ptCount val="2"/>
                <c:pt idx="0">
                  <c:v>117.38181818181818</c:v>
                </c:pt>
                <c:pt idx="1">
                  <c:v>131.58620689655172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F4-4A87-BABE-C0047C184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588777789"/>
        <c:axId val="1572125802"/>
      </c:barChart>
      <c:catAx>
        <c:axId val="1588777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CR" sz="1400" b="0">
                    <a:solidFill>
                      <a:srgbClr val="000000"/>
                    </a:solidFill>
                    <a:latin typeface="Arial"/>
                  </a:rPr>
                  <a:t>Ticket Type</a:t>
                </a:r>
              </a:p>
            </c:rich>
          </c:tx>
          <c:layout>
            <c:manualLayout>
              <c:xMode val="edge"/>
              <c:yMode val="edge"/>
              <c:x val="0.46526497390073429"/>
              <c:y val="0.89193172353135786"/>
            </c:manualLayout>
          </c:layout>
          <c:overlay val="0"/>
          <c:spPr>
            <a:ln>
              <a:solidFill>
                <a:schemeClr val="bg1">
                  <a:alpha val="92000"/>
                </a:schemeClr>
              </a:solidFill>
            </a:ln>
          </c:spPr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100" b="0">
                <a:solidFill>
                  <a:srgbClr val="000000"/>
                </a:solidFill>
                <a:latin typeface="+mn-lt"/>
              </a:defRPr>
            </a:pPr>
            <a:endParaRPr lang="es-CR"/>
          </a:p>
        </c:txPr>
        <c:crossAx val="1572125802"/>
        <c:crosses val="autoZero"/>
        <c:auto val="1"/>
        <c:lblAlgn val="ctr"/>
        <c:lblOffset val="100"/>
        <c:noMultiLvlLbl val="1"/>
      </c:catAx>
      <c:valAx>
        <c:axId val="157212580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s-CR" sz="1400" b="0">
                    <a:solidFill>
                      <a:srgbClr val="000000"/>
                    </a:solidFill>
                    <a:latin typeface="Arial"/>
                  </a:rPr>
                  <a:t>Resolution Time (hrs)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R"/>
          </a:p>
        </c:txPr>
        <c:crossAx val="1588777789"/>
        <c:crosses val="autoZero"/>
        <c:crossBetween val="between"/>
      </c:valAx>
    </c:plotArea>
    <c:plotVisOnly val="1"/>
    <c:dispBlanksAs val="zero"/>
    <c:showDLblsOverMax val="1"/>
  </c:chart>
  <c:spPr>
    <a:ln>
      <a:solidFill>
        <a:schemeClr val="bg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16</xdr:row>
      <xdr:rowOff>47625</xdr:rowOff>
    </xdr:from>
    <xdr:ext cx="11303000" cy="2945948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19</xdr:col>
      <xdr:colOff>377318</xdr:colOff>
      <xdr:row>34</xdr:row>
      <xdr:rowOff>136072</xdr:rowOff>
    </xdr:from>
    <xdr:ext cx="5615415" cy="2875642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0</xdr:colOff>
      <xdr:row>34</xdr:row>
      <xdr:rowOff>125996</xdr:rowOff>
    </xdr:from>
    <xdr:ext cx="5651500" cy="2832191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drea P" refreshedDate="46252.645948495374" refreshedVersion="8" recordCount="399" xr:uid="{00000000-000A-0000-FFFF-FFFF00000000}">
  <cacheSource type="worksheet">
    <worksheetSource ref="A3:L402" sheet="02_Prepared_Data"/>
  </cacheSource>
  <cacheFields count="12">
    <cacheField name="ticket_id" numFmtId="0">
      <sharedItems containsSemiMixedTypes="0" containsString="0" containsNumber="1" containsInteger="1" minValue="1" maxValue="399"/>
    </cacheField>
    <cacheField name="creation_date" numFmtId="14">
      <sharedItems containsSemiMixedTypes="0" containsNonDate="0" containsDate="1" containsString="0" minDate="2024-01-01T00:00:00" maxDate="2024-04-01T00:00:00"/>
    </cacheField>
    <cacheField name="resolution_date" numFmtId="0">
      <sharedItems containsDate="1" containsBlank="1" containsMixedTypes="1" minDate="2024-01-05T00:00:00" maxDate="2024-04-08T00:00:00"/>
    </cacheField>
    <cacheField name="status" numFmtId="0">
      <sharedItems count="2">
        <s v="Open"/>
        <s v="Closed"/>
      </sharedItems>
    </cacheField>
    <cacheField name="ticket_type" numFmtId="0">
      <sharedItems count="2">
        <s v="Series"/>
        <s v="Movie"/>
      </sharedItems>
    </cacheField>
    <cacheField name="priority" numFmtId="0">
      <sharedItems count="3">
        <s v="Medium"/>
        <s v="Low"/>
        <s v="High"/>
      </sharedItems>
    </cacheField>
    <cacheField name="team" numFmtId="0">
      <sharedItems/>
    </cacheField>
    <cacheField name="resolution_time_hours" numFmtId="0">
      <sharedItems containsBlank="1" containsMixedTypes="1" containsNumber="1" containsInteger="1" minValue="24" maxValue="240"/>
    </cacheField>
    <cacheField name="creation_week" numFmtId="0">
      <sharedItems containsSemiMixedTypes="0" containsString="0" containsNumber="1" containsInteger="1" minValue="1" maxValue="13" count="13">
        <n v="2"/>
        <n v="6"/>
        <n v="3"/>
        <n v="7"/>
        <n v="1"/>
        <n v="12"/>
        <n v="8"/>
        <n v="5"/>
        <n v="9"/>
        <n v="10"/>
        <n v="13"/>
        <n v="11"/>
        <n v="4"/>
      </sharedItems>
    </cacheField>
    <cacheField name="resolution_week" numFmtId="0">
      <sharedItems containsMixedTypes="1" containsNumber="1" containsInteger="1" minValue="1" maxValue="14" count="15">
        <s v=""/>
        <n v="2"/>
        <n v="1"/>
        <n v="6"/>
        <n v="3"/>
        <n v="14"/>
        <n v="5"/>
        <n v="7"/>
        <n v="10"/>
        <n v="12"/>
        <n v="13"/>
        <n v="8"/>
        <n v="11"/>
        <n v="9"/>
        <n v="4"/>
      </sharedItems>
    </cacheField>
    <cacheField name="creation_month" numFmtId="0">
      <sharedItems/>
    </cacheField>
    <cacheField name="resolution_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n v="1"/>
    <d v="2024-01-10T00:00:00"/>
    <s v=""/>
    <x v="0"/>
    <x v="0"/>
    <x v="0"/>
    <s v="Team A"/>
    <s v=""/>
    <x v="0"/>
    <x v="0"/>
    <s v="Jan"/>
    <s v=""/>
  </r>
  <r>
    <n v="2"/>
    <d v="2024-02-07T00:00:00"/>
    <s v=""/>
    <x v="0"/>
    <x v="1"/>
    <x v="0"/>
    <s v="Team B"/>
    <s v=""/>
    <x v="1"/>
    <x v="0"/>
    <s v="Feb"/>
    <s v=""/>
  </r>
  <r>
    <n v="3"/>
    <d v="2024-01-16T00:00:00"/>
    <s v=""/>
    <x v="0"/>
    <x v="1"/>
    <x v="0"/>
    <s v="Team B"/>
    <s v=""/>
    <x v="2"/>
    <x v="0"/>
    <s v="Jan"/>
    <s v=""/>
  </r>
  <r>
    <n v="4"/>
    <d v="2024-02-14T00:00:00"/>
    <s v=""/>
    <x v="0"/>
    <x v="0"/>
    <x v="0"/>
    <s v="Team B"/>
    <s v=""/>
    <x v="3"/>
    <x v="0"/>
    <s v="Feb"/>
    <s v=""/>
  </r>
  <r>
    <n v="5"/>
    <d v="2024-02-11T00:00:00"/>
    <s v=""/>
    <x v="0"/>
    <x v="0"/>
    <x v="0"/>
    <s v="Team B"/>
    <s v=""/>
    <x v="1"/>
    <x v="0"/>
    <s v="Feb"/>
    <s v=""/>
  </r>
  <r>
    <n v="6"/>
    <d v="2024-01-01T00:00:00"/>
    <m/>
    <x v="0"/>
    <x v="0"/>
    <x v="1"/>
    <s v="Team A"/>
    <m/>
    <x v="4"/>
    <x v="0"/>
    <s v="Jan"/>
    <s v=""/>
  </r>
  <r>
    <n v="7"/>
    <d v="2024-03-18T00:00:00"/>
    <m/>
    <x v="1"/>
    <x v="1"/>
    <x v="1"/>
    <s v="Team B"/>
    <n v="216"/>
    <x v="5"/>
    <x v="0"/>
    <s v="Mar"/>
    <s v=""/>
  </r>
  <r>
    <n v="8"/>
    <d v="2024-02-09T00:00:00"/>
    <s v=""/>
    <x v="0"/>
    <x v="0"/>
    <x v="0"/>
    <s v="Team B"/>
    <s v=""/>
    <x v="1"/>
    <x v="0"/>
    <s v="Feb"/>
    <s v=""/>
  </r>
  <r>
    <n v="9"/>
    <d v="2024-02-08T00:00:00"/>
    <s v=""/>
    <x v="0"/>
    <x v="1"/>
    <x v="2"/>
    <s v="Team A"/>
    <s v=""/>
    <x v="1"/>
    <x v="0"/>
    <s v="Feb"/>
    <s v=""/>
  </r>
  <r>
    <n v="10"/>
    <d v="2024-01-07T00:00:00"/>
    <d v="2024-01-14T00:00:00"/>
    <x v="1"/>
    <x v="0"/>
    <x v="0"/>
    <s v="Team A"/>
    <n v="168"/>
    <x v="4"/>
    <x v="1"/>
    <s v="Jan"/>
    <s v="Jan"/>
  </r>
  <r>
    <n v="11"/>
    <d v="2024-02-22T00:00:00"/>
    <s v=""/>
    <x v="0"/>
    <x v="0"/>
    <x v="0"/>
    <s v="Team B"/>
    <s v=""/>
    <x v="6"/>
    <x v="0"/>
    <s v="Feb"/>
    <s v=""/>
  </r>
  <r>
    <n v="12"/>
    <d v="2024-01-13T00:00:00"/>
    <s v=""/>
    <x v="0"/>
    <x v="0"/>
    <x v="0"/>
    <s v="Team B"/>
    <s v=""/>
    <x v="0"/>
    <x v="0"/>
    <s v="Jan"/>
    <s v=""/>
  </r>
  <r>
    <n v="13"/>
    <d v="2024-02-02T00:00:00"/>
    <m/>
    <x v="1"/>
    <x v="0"/>
    <x v="2"/>
    <s v="Team B"/>
    <n v="48"/>
    <x v="7"/>
    <x v="0"/>
    <s v="Feb"/>
    <s v=""/>
  </r>
  <r>
    <n v="14"/>
    <d v="2024-03-02T00:00:00"/>
    <s v=""/>
    <x v="0"/>
    <x v="0"/>
    <x v="0"/>
    <s v="Team A"/>
    <s v=""/>
    <x v="8"/>
    <x v="0"/>
    <s v="Mar"/>
    <s v=""/>
  </r>
  <r>
    <n v="15"/>
    <d v="2024-02-16T00:00:00"/>
    <s v=""/>
    <x v="0"/>
    <x v="0"/>
    <x v="0"/>
    <s v="Team B"/>
    <s v=""/>
    <x v="3"/>
    <x v="0"/>
    <s v="Feb"/>
    <s v=""/>
  </r>
  <r>
    <n v="16"/>
    <d v="2024-01-09T00:00:00"/>
    <s v=""/>
    <x v="0"/>
    <x v="1"/>
    <x v="0"/>
    <s v="Team A"/>
    <s v=""/>
    <x v="0"/>
    <x v="0"/>
    <s v="Jan"/>
    <s v=""/>
  </r>
  <r>
    <n v="17"/>
    <d v="2024-02-15T00:00:00"/>
    <s v=""/>
    <x v="0"/>
    <x v="0"/>
    <x v="2"/>
    <s v="Team A"/>
    <s v=""/>
    <x v="3"/>
    <x v="0"/>
    <s v="Feb"/>
    <s v=""/>
  </r>
  <r>
    <n v="18"/>
    <d v="2024-03-06T00:00:00"/>
    <s v=""/>
    <x v="0"/>
    <x v="0"/>
    <x v="0"/>
    <s v="Team A"/>
    <s v=""/>
    <x v="9"/>
    <x v="0"/>
    <s v="Mar"/>
    <s v=""/>
  </r>
  <r>
    <n v="19"/>
    <d v="2024-03-18T00:00:00"/>
    <s v=""/>
    <x v="0"/>
    <x v="1"/>
    <x v="0"/>
    <s v="Team B"/>
    <s v=""/>
    <x v="5"/>
    <x v="0"/>
    <s v="Mar"/>
    <s v=""/>
  </r>
  <r>
    <n v="20"/>
    <d v="2024-01-08T00:00:00"/>
    <d v="2024-01-09T00:00:00"/>
    <x v="1"/>
    <x v="1"/>
    <x v="2"/>
    <s v="Team B"/>
    <n v="24"/>
    <x v="0"/>
    <x v="1"/>
    <s v="Jan"/>
    <s v="Jan"/>
  </r>
  <r>
    <n v="21"/>
    <d v="2024-01-07T00:00:00"/>
    <d v="2024-01-05T00:00:00"/>
    <x v="1"/>
    <x v="1"/>
    <x v="0"/>
    <s v="Team A"/>
    <n v="144"/>
    <x v="4"/>
    <x v="2"/>
    <s v="Jan"/>
    <s v="Jan"/>
  </r>
  <r>
    <n v="22"/>
    <d v="2024-01-19T00:00:00"/>
    <s v=""/>
    <x v="0"/>
    <x v="0"/>
    <x v="2"/>
    <s v="Team A"/>
    <s v=""/>
    <x v="2"/>
    <x v="0"/>
    <s v="Jan"/>
    <s v=""/>
  </r>
  <r>
    <n v="23"/>
    <d v="2024-01-18T00:00:00"/>
    <s v=""/>
    <x v="0"/>
    <x v="0"/>
    <x v="0"/>
    <s v="Team B"/>
    <s v=""/>
    <x v="2"/>
    <x v="0"/>
    <s v="Jan"/>
    <s v=""/>
  </r>
  <r>
    <n v="24"/>
    <d v="2024-03-25T00:00:00"/>
    <s v=""/>
    <x v="0"/>
    <x v="1"/>
    <x v="0"/>
    <s v="Team B"/>
    <s v=""/>
    <x v="10"/>
    <x v="0"/>
    <s v="Mar"/>
    <s v=""/>
  </r>
  <r>
    <n v="25"/>
    <d v="2024-01-11T00:00:00"/>
    <d v="2024-01-10T00:00:00"/>
    <x v="1"/>
    <x v="0"/>
    <x v="2"/>
    <s v="Team B"/>
    <n v="168"/>
    <x v="0"/>
    <x v="1"/>
    <s v="Jan"/>
    <s v="Jan"/>
  </r>
  <r>
    <n v="26"/>
    <d v="2024-01-07T00:00:00"/>
    <s v=""/>
    <x v="0"/>
    <x v="1"/>
    <x v="1"/>
    <s v="Team B"/>
    <s v=""/>
    <x v="4"/>
    <x v="0"/>
    <s v="Jan"/>
    <s v=""/>
  </r>
  <r>
    <n v="27"/>
    <d v="2024-02-01T00:00:00"/>
    <s v=""/>
    <x v="0"/>
    <x v="1"/>
    <x v="1"/>
    <s v="Team B"/>
    <s v=""/>
    <x v="7"/>
    <x v="0"/>
    <s v="Feb"/>
    <s v=""/>
  </r>
  <r>
    <n v="28"/>
    <d v="2024-02-26T00:00:00"/>
    <s v=""/>
    <x v="0"/>
    <x v="1"/>
    <x v="0"/>
    <s v="Team A"/>
    <s v=""/>
    <x v="8"/>
    <x v="0"/>
    <s v="Feb"/>
    <s v=""/>
  </r>
  <r>
    <n v="29"/>
    <d v="2024-03-25T00:00:00"/>
    <s v=""/>
    <x v="0"/>
    <x v="0"/>
    <x v="2"/>
    <s v="Team B"/>
    <s v=""/>
    <x v="10"/>
    <x v="0"/>
    <s v="Mar"/>
    <s v=""/>
  </r>
  <r>
    <n v="30"/>
    <d v="2024-03-29T00:00:00"/>
    <s v=""/>
    <x v="0"/>
    <x v="1"/>
    <x v="0"/>
    <s v="Team B"/>
    <s v=""/>
    <x v="10"/>
    <x v="0"/>
    <s v="Mar"/>
    <s v=""/>
  </r>
  <r>
    <n v="31"/>
    <d v="2024-02-12T00:00:00"/>
    <s v=""/>
    <x v="0"/>
    <x v="1"/>
    <x v="0"/>
    <s v="Team A"/>
    <s v=""/>
    <x v="3"/>
    <x v="0"/>
    <s v="Feb"/>
    <s v=""/>
  </r>
  <r>
    <n v="32"/>
    <d v="2024-02-13T00:00:00"/>
    <s v=""/>
    <x v="0"/>
    <x v="0"/>
    <x v="0"/>
    <s v="Team A"/>
    <s v=""/>
    <x v="3"/>
    <x v="0"/>
    <s v="Feb"/>
    <s v=""/>
  </r>
  <r>
    <n v="33"/>
    <d v="2024-01-20T00:00:00"/>
    <s v=""/>
    <x v="0"/>
    <x v="0"/>
    <x v="2"/>
    <s v="Team B"/>
    <s v=""/>
    <x v="2"/>
    <x v="0"/>
    <s v="Jan"/>
    <s v=""/>
  </r>
  <r>
    <n v="34"/>
    <d v="2024-02-01T00:00:00"/>
    <s v=""/>
    <x v="0"/>
    <x v="0"/>
    <x v="0"/>
    <s v="Team A"/>
    <s v=""/>
    <x v="7"/>
    <x v="0"/>
    <s v="Feb"/>
    <s v=""/>
  </r>
  <r>
    <n v="35"/>
    <d v="2024-03-22T00:00:00"/>
    <s v=""/>
    <x v="0"/>
    <x v="1"/>
    <x v="1"/>
    <s v="Team B"/>
    <s v=""/>
    <x v="5"/>
    <x v="0"/>
    <s v="Mar"/>
    <s v=""/>
  </r>
  <r>
    <n v="36"/>
    <d v="2024-02-05T00:00:00"/>
    <d v="2024-02-09T00:00:00"/>
    <x v="1"/>
    <x v="1"/>
    <x v="0"/>
    <s v="Team B"/>
    <n v="96"/>
    <x v="1"/>
    <x v="3"/>
    <s v="Feb"/>
    <s v="Feb"/>
  </r>
  <r>
    <n v="37"/>
    <d v="2024-01-17T00:00:00"/>
    <d v="2024-01-21T00:00:00"/>
    <x v="1"/>
    <x v="1"/>
    <x v="0"/>
    <s v="Team A"/>
    <n v="96"/>
    <x v="2"/>
    <x v="4"/>
    <s v="Jan"/>
    <s v="Jan"/>
  </r>
  <r>
    <n v="38"/>
    <d v="2024-01-11T00:00:00"/>
    <d v="2024-01-15T00:00:00"/>
    <x v="1"/>
    <x v="0"/>
    <x v="0"/>
    <s v="Team B"/>
    <n v="96"/>
    <x v="0"/>
    <x v="4"/>
    <s v="Jan"/>
    <s v="Jan"/>
  </r>
  <r>
    <n v="39"/>
    <d v="2024-03-31T00:00:00"/>
    <d v="2024-04-07T00:00:00"/>
    <x v="1"/>
    <x v="0"/>
    <x v="1"/>
    <s v="Team B"/>
    <n v="168"/>
    <x v="10"/>
    <x v="5"/>
    <s v="Mar"/>
    <s v="Apr"/>
  </r>
  <r>
    <n v="40"/>
    <d v="2024-01-17T00:00:00"/>
    <s v=""/>
    <x v="0"/>
    <x v="0"/>
    <x v="0"/>
    <s v="Team A"/>
    <s v=""/>
    <x v="2"/>
    <x v="0"/>
    <s v="Jan"/>
    <s v=""/>
  </r>
  <r>
    <n v="41"/>
    <d v="2024-03-08T00:00:00"/>
    <s v=""/>
    <x v="0"/>
    <x v="1"/>
    <x v="2"/>
    <s v="Team B"/>
    <s v=""/>
    <x v="9"/>
    <x v="0"/>
    <s v="Mar"/>
    <s v=""/>
  </r>
  <r>
    <n v="42"/>
    <d v="2024-03-05T00:00:00"/>
    <s v=""/>
    <x v="0"/>
    <x v="0"/>
    <x v="0"/>
    <s v="Team A"/>
    <s v=""/>
    <x v="9"/>
    <x v="0"/>
    <s v="Mar"/>
    <s v=""/>
  </r>
  <r>
    <n v="43"/>
    <d v="2024-02-02T00:00:00"/>
    <s v=""/>
    <x v="0"/>
    <x v="1"/>
    <x v="0"/>
    <s v="Team A"/>
    <s v=""/>
    <x v="7"/>
    <x v="0"/>
    <s v="Feb"/>
    <s v=""/>
  </r>
  <r>
    <n v="44"/>
    <d v="2024-03-09T00:00:00"/>
    <m/>
    <x v="0"/>
    <x v="0"/>
    <x v="1"/>
    <s v="Team A"/>
    <m/>
    <x v="9"/>
    <x v="0"/>
    <s v="Mar"/>
    <s v=""/>
  </r>
  <r>
    <n v="45"/>
    <d v="2024-03-11T00:00:00"/>
    <s v=""/>
    <x v="0"/>
    <x v="0"/>
    <x v="0"/>
    <s v="Team A"/>
    <s v=""/>
    <x v="11"/>
    <x v="0"/>
    <s v="Mar"/>
    <s v=""/>
  </r>
  <r>
    <n v="46"/>
    <d v="2024-01-19T00:00:00"/>
    <d v="2024-01-29T00:00:00"/>
    <x v="1"/>
    <x v="0"/>
    <x v="1"/>
    <s v="Team A"/>
    <n v="240"/>
    <x v="2"/>
    <x v="6"/>
    <s v="Jan"/>
    <s v="Jan"/>
  </r>
  <r>
    <n v="47"/>
    <d v="2024-03-18T00:00:00"/>
    <s v=""/>
    <x v="0"/>
    <x v="0"/>
    <x v="1"/>
    <s v="Team A"/>
    <s v=""/>
    <x v="5"/>
    <x v="0"/>
    <s v="Mar"/>
    <s v=""/>
  </r>
  <r>
    <n v="48"/>
    <d v="2024-01-08T00:00:00"/>
    <s v=""/>
    <x v="0"/>
    <x v="1"/>
    <x v="2"/>
    <s v="Team B"/>
    <s v=""/>
    <x v="0"/>
    <x v="0"/>
    <s v="Jan"/>
    <s v=""/>
  </r>
  <r>
    <n v="49"/>
    <d v="2024-01-31T00:00:00"/>
    <s v=""/>
    <x v="0"/>
    <x v="1"/>
    <x v="2"/>
    <s v="Team A"/>
    <s v=""/>
    <x v="7"/>
    <x v="0"/>
    <s v="Jan"/>
    <s v=""/>
  </r>
  <r>
    <n v="50"/>
    <d v="2024-02-11T00:00:00"/>
    <d v="2024-02-15T00:00:00"/>
    <x v="1"/>
    <x v="0"/>
    <x v="0"/>
    <s v="Team A"/>
    <n v="96"/>
    <x v="1"/>
    <x v="7"/>
    <s v="Feb"/>
    <s v="Feb"/>
  </r>
  <r>
    <n v="51"/>
    <d v="2024-03-07T00:00:00"/>
    <d v="2024-03-08T00:00:00"/>
    <x v="1"/>
    <x v="1"/>
    <x v="2"/>
    <s v="Team A"/>
    <n v="24"/>
    <x v="9"/>
    <x v="8"/>
    <s v="Mar"/>
    <s v="Mar"/>
  </r>
  <r>
    <n v="52"/>
    <d v="2024-01-27T00:00:00"/>
    <d v="2024-01-30T00:00:00"/>
    <x v="1"/>
    <x v="1"/>
    <x v="0"/>
    <s v="Team A"/>
    <n v="72"/>
    <x v="12"/>
    <x v="6"/>
    <s v="Jan"/>
    <s v="Jan"/>
  </r>
  <r>
    <n v="53"/>
    <d v="2024-02-02T00:00:00"/>
    <s v=""/>
    <x v="0"/>
    <x v="1"/>
    <x v="0"/>
    <s v="Team B"/>
    <s v=""/>
    <x v="7"/>
    <x v="0"/>
    <s v="Feb"/>
    <s v=""/>
  </r>
  <r>
    <n v="54"/>
    <d v="2024-01-12T00:00:00"/>
    <d v="2024-01-13T00:00:00"/>
    <x v="1"/>
    <x v="1"/>
    <x v="2"/>
    <s v="Team B"/>
    <n v="24"/>
    <x v="0"/>
    <x v="1"/>
    <s v="Jan"/>
    <s v="Jan"/>
  </r>
  <r>
    <n v="55"/>
    <d v="2024-03-06T00:00:00"/>
    <s v=""/>
    <x v="0"/>
    <x v="0"/>
    <x v="2"/>
    <s v="Team B"/>
    <s v=""/>
    <x v="9"/>
    <x v="0"/>
    <s v="Mar"/>
    <s v=""/>
  </r>
  <r>
    <n v="56"/>
    <d v="2024-01-17T00:00:00"/>
    <d v="2024-01-18T00:00:00"/>
    <x v="1"/>
    <x v="0"/>
    <x v="1"/>
    <s v="Team B"/>
    <n v="24"/>
    <x v="2"/>
    <x v="4"/>
    <s v="Jan"/>
    <s v="Jan"/>
  </r>
  <r>
    <n v="57"/>
    <d v="2024-03-18T00:00:00"/>
    <d v="2024-03-23T00:00:00"/>
    <x v="1"/>
    <x v="0"/>
    <x v="0"/>
    <s v="Team B"/>
    <n v="120"/>
    <x v="5"/>
    <x v="9"/>
    <s v="Mar"/>
    <s v="Mar"/>
  </r>
  <r>
    <n v="58"/>
    <d v="2024-03-26T00:00:00"/>
    <d v="2024-03-31T00:00:00"/>
    <x v="1"/>
    <x v="0"/>
    <x v="0"/>
    <s v="Team B"/>
    <n v="120"/>
    <x v="10"/>
    <x v="10"/>
    <s v="Mar"/>
    <s v="Mar"/>
  </r>
  <r>
    <n v="59"/>
    <d v="2024-03-23T00:00:00"/>
    <d v="2024-03-29T00:00:00"/>
    <x v="1"/>
    <x v="1"/>
    <x v="2"/>
    <s v="Team B"/>
    <n v="144"/>
    <x v="5"/>
    <x v="10"/>
    <s v="Mar"/>
    <s v="Mar"/>
  </r>
  <r>
    <n v="60"/>
    <d v="2024-02-28T00:00:00"/>
    <s v=""/>
    <x v="0"/>
    <x v="1"/>
    <x v="0"/>
    <s v="Team A"/>
    <s v=""/>
    <x v="8"/>
    <x v="0"/>
    <s v="Feb"/>
    <s v=""/>
  </r>
  <r>
    <n v="61"/>
    <d v="2024-01-31T00:00:00"/>
    <s v=""/>
    <x v="0"/>
    <x v="0"/>
    <x v="2"/>
    <s v="Team B"/>
    <s v=""/>
    <x v="7"/>
    <x v="0"/>
    <s v="Jan"/>
    <s v=""/>
  </r>
  <r>
    <n v="62"/>
    <d v="2024-01-10T00:00:00"/>
    <d v="2024-01-20T00:00:00"/>
    <x v="1"/>
    <x v="0"/>
    <x v="1"/>
    <s v="Team A"/>
    <n v="240"/>
    <x v="0"/>
    <x v="4"/>
    <s v="Jan"/>
    <s v="Jan"/>
  </r>
  <r>
    <n v="63"/>
    <d v="2024-03-01T00:00:00"/>
    <s v=""/>
    <x v="0"/>
    <x v="0"/>
    <x v="0"/>
    <s v="Team B"/>
    <s v=""/>
    <x v="8"/>
    <x v="0"/>
    <s v="Mar"/>
    <s v=""/>
  </r>
  <r>
    <n v="64"/>
    <d v="2024-02-25T00:00:00"/>
    <s v=""/>
    <x v="0"/>
    <x v="0"/>
    <x v="0"/>
    <s v="Team A"/>
    <s v=""/>
    <x v="6"/>
    <x v="0"/>
    <s v="Feb"/>
    <s v=""/>
  </r>
  <r>
    <n v="65"/>
    <d v="2024-02-08T00:00:00"/>
    <d v="2024-02-16T00:00:00"/>
    <x v="1"/>
    <x v="1"/>
    <x v="0"/>
    <s v="Team B"/>
    <n v="192"/>
    <x v="1"/>
    <x v="7"/>
    <s v="Feb"/>
    <s v="Feb"/>
  </r>
  <r>
    <n v="66"/>
    <d v="2024-02-07T00:00:00"/>
    <s v=""/>
    <x v="0"/>
    <x v="0"/>
    <x v="0"/>
    <s v="Team B"/>
    <s v=""/>
    <x v="1"/>
    <x v="0"/>
    <s v="Feb"/>
    <s v=""/>
  </r>
  <r>
    <n v="67"/>
    <d v="2024-01-23T00:00:00"/>
    <s v=""/>
    <x v="0"/>
    <x v="0"/>
    <x v="2"/>
    <s v="Team B"/>
    <s v=""/>
    <x v="12"/>
    <x v="0"/>
    <s v="Jan"/>
    <s v=""/>
  </r>
  <r>
    <n v="68"/>
    <d v="2024-01-28T00:00:00"/>
    <s v=""/>
    <x v="0"/>
    <x v="0"/>
    <x v="2"/>
    <s v="Team B"/>
    <s v=""/>
    <x v="12"/>
    <x v="0"/>
    <s v="Jan"/>
    <s v=""/>
  </r>
  <r>
    <n v="69"/>
    <d v="2024-01-05T00:00:00"/>
    <s v=""/>
    <x v="0"/>
    <x v="0"/>
    <x v="2"/>
    <s v="Team B"/>
    <s v=""/>
    <x v="4"/>
    <x v="0"/>
    <s v="Jan"/>
    <s v=""/>
  </r>
  <r>
    <n v="70"/>
    <d v="2024-02-01T00:00:00"/>
    <s v=""/>
    <x v="0"/>
    <x v="0"/>
    <x v="1"/>
    <s v="Team B"/>
    <s v=""/>
    <x v="7"/>
    <x v="0"/>
    <s v="Feb"/>
    <s v=""/>
  </r>
  <r>
    <n v="71"/>
    <d v="2024-02-13T00:00:00"/>
    <s v=""/>
    <x v="0"/>
    <x v="0"/>
    <x v="2"/>
    <s v="Team B"/>
    <s v=""/>
    <x v="3"/>
    <x v="0"/>
    <s v="Feb"/>
    <s v=""/>
  </r>
  <r>
    <n v="72"/>
    <d v="2024-03-08T00:00:00"/>
    <d v="2024-03-10T00:00:00"/>
    <x v="1"/>
    <x v="0"/>
    <x v="2"/>
    <s v="Team A"/>
    <n v="48"/>
    <x v="9"/>
    <x v="8"/>
    <s v="Mar"/>
    <s v="Mar"/>
  </r>
  <r>
    <n v="73"/>
    <d v="2024-03-04T00:00:00"/>
    <s v=""/>
    <x v="0"/>
    <x v="0"/>
    <x v="1"/>
    <s v="Team B"/>
    <s v=""/>
    <x v="9"/>
    <x v="0"/>
    <s v="Mar"/>
    <s v=""/>
  </r>
  <r>
    <n v="74"/>
    <d v="2024-02-14T00:00:00"/>
    <d v="2024-02-19T00:00:00"/>
    <x v="1"/>
    <x v="1"/>
    <x v="2"/>
    <s v="Team B"/>
    <n v="120"/>
    <x v="3"/>
    <x v="11"/>
    <s v="Feb"/>
    <s v="Feb"/>
  </r>
  <r>
    <n v="75"/>
    <d v="2024-03-01T00:00:00"/>
    <d v="2024-03-06T00:00:00"/>
    <x v="1"/>
    <x v="0"/>
    <x v="0"/>
    <s v="Team B"/>
    <n v="120"/>
    <x v="8"/>
    <x v="8"/>
    <s v="Mar"/>
    <s v="Mar"/>
  </r>
  <r>
    <n v="76"/>
    <d v="2024-01-13T00:00:00"/>
    <s v=""/>
    <x v="0"/>
    <x v="0"/>
    <x v="0"/>
    <s v="Team B"/>
    <s v=""/>
    <x v="0"/>
    <x v="0"/>
    <s v="Jan"/>
    <s v=""/>
  </r>
  <r>
    <n v="77"/>
    <d v="2024-02-21T00:00:00"/>
    <s v=""/>
    <x v="0"/>
    <x v="1"/>
    <x v="0"/>
    <s v="Team A"/>
    <s v=""/>
    <x v="6"/>
    <x v="0"/>
    <s v="Feb"/>
    <s v=""/>
  </r>
  <r>
    <n v="78"/>
    <d v="2024-03-21T00:00:00"/>
    <s v=""/>
    <x v="0"/>
    <x v="1"/>
    <x v="0"/>
    <s v="Team A"/>
    <s v=""/>
    <x v="5"/>
    <x v="0"/>
    <s v="Mar"/>
    <s v=""/>
  </r>
  <r>
    <n v="79"/>
    <d v="2024-03-03T00:00:00"/>
    <d v="2024-03-07T00:00:00"/>
    <x v="1"/>
    <x v="0"/>
    <x v="1"/>
    <s v="Team B"/>
    <n v="96"/>
    <x v="8"/>
    <x v="8"/>
    <s v="Mar"/>
    <s v="Mar"/>
  </r>
  <r>
    <n v="80"/>
    <d v="2024-03-08T00:00:00"/>
    <d v="2024-03-12T00:00:00"/>
    <x v="1"/>
    <x v="1"/>
    <x v="1"/>
    <s v="Team A"/>
    <n v="96"/>
    <x v="9"/>
    <x v="12"/>
    <s v="Mar"/>
    <s v="Mar"/>
  </r>
  <r>
    <n v="81"/>
    <d v="2024-01-20T00:00:00"/>
    <s v=""/>
    <x v="0"/>
    <x v="1"/>
    <x v="0"/>
    <s v="Team B"/>
    <s v=""/>
    <x v="2"/>
    <x v="0"/>
    <s v="Jan"/>
    <s v=""/>
  </r>
  <r>
    <n v="82"/>
    <d v="2024-03-15T00:00:00"/>
    <s v=""/>
    <x v="0"/>
    <x v="1"/>
    <x v="0"/>
    <s v="Team A"/>
    <s v=""/>
    <x v="11"/>
    <x v="0"/>
    <s v="Mar"/>
    <s v=""/>
  </r>
  <r>
    <n v="83"/>
    <d v="2024-03-24T00:00:00"/>
    <d v="2024-03-29T00:00:00"/>
    <x v="1"/>
    <x v="1"/>
    <x v="0"/>
    <s v="Team B"/>
    <n v="120"/>
    <x v="5"/>
    <x v="10"/>
    <s v="Mar"/>
    <s v="Mar"/>
  </r>
  <r>
    <n v="84"/>
    <d v="2024-03-14T00:00:00"/>
    <d v="2024-03-17T00:00:00"/>
    <x v="1"/>
    <x v="1"/>
    <x v="1"/>
    <s v="Team A"/>
    <n v="72"/>
    <x v="11"/>
    <x v="12"/>
    <s v="Mar"/>
    <s v="Mar"/>
  </r>
  <r>
    <n v="85"/>
    <d v="2024-02-16T00:00:00"/>
    <s v=""/>
    <x v="0"/>
    <x v="1"/>
    <x v="1"/>
    <s v="Team B"/>
    <s v=""/>
    <x v="3"/>
    <x v="0"/>
    <s v="Feb"/>
    <s v=""/>
  </r>
  <r>
    <n v="86"/>
    <d v="2024-03-01T00:00:00"/>
    <d v="2024-03-08T00:00:00"/>
    <x v="1"/>
    <x v="1"/>
    <x v="1"/>
    <s v="Team B"/>
    <n v="168"/>
    <x v="8"/>
    <x v="8"/>
    <s v="Mar"/>
    <s v="Mar"/>
  </r>
  <r>
    <n v="87"/>
    <d v="2024-03-02T00:00:00"/>
    <s v=""/>
    <x v="0"/>
    <x v="0"/>
    <x v="2"/>
    <s v="Team B"/>
    <s v=""/>
    <x v="8"/>
    <x v="0"/>
    <s v="Mar"/>
    <s v=""/>
  </r>
  <r>
    <n v="88"/>
    <d v="2024-01-12T00:00:00"/>
    <s v=""/>
    <x v="0"/>
    <x v="1"/>
    <x v="0"/>
    <s v="Team B"/>
    <s v=""/>
    <x v="0"/>
    <x v="0"/>
    <s v="Jan"/>
    <s v=""/>
  </r>
  <r>
    <n v="89"/>
    <d v="2024-01-25T00:00:00"/>
    <d v="2024-01-29T00:00:00"/>
    <x v="1"/>
    <x v="1"/>
    <x v="0"/>
    <s v="Team A"/>
    <n v="96"/>
    <x v="12"/>
    <x v="6"/>
    <s v="Jan"/>
    <s v="Jan"/>
  </r>
  <r>
    <n v="90"/>
    <d v="2024-01-08T00:00:00"/>
    <d v="2024-01-12T00:00:00"/>
    <x v="1"/>
    <x v="1"/>
    <x v="0"/>
    <s v="Team B"/>
    <n v="96"/>
    <x v="0"/>
    <x v="1"/>
    <s v="Jan"/>
    <s v="Jan"/>
  </r>
  <r>
    <n v="91"/>
    <d v="2024-01-23T00:00:00"/>
    <s v=""/>
    <x v="0"/>
    <x v="0"/>
    <x v="1"/>
    <s v="Team A"/>
    <s v=""/>
    <x v="12"/>
    <x v="0"/>
    <s v="Jan"/>
    <s v=""/>
  </r>
  <r>
    <n v="92"/>
    <d v="2024-02-05T00:00:00"/>
    <s v=""/>
    <x v="0"/>
    <x v="1"/>
    <x v="2"/>
    <s v="Team A"/>
    <s v=""/>
    <x v="1"/>
    <x v="0"/>
    <s v="Feb"/>
    <s v=""/>
  </r>
  <r>
    <n v="93"/>
    <d v="2024-01-02T00:00:00"/>
    <s v=""/>
    <x v="0"/>
    <x v="1"/>
    <x v="0"/>
    <s v="Team A"/>
    <s v=""/>
    <x v="4"/>
    <x v="0"/>
    <s v="Jan"/>
    <s v=""/>
  </r>
  <r>
    <n v="94"/>
    <d v="2024-03-08T00:00:00"/>
    <s v=""/>
    <x v="0"/>
    <x v="1"/>
    <x v="1"/>
    <s v="Team B"/>
    <s v=""/>
    <x v="9"/>
    <x v="0"/>
    <s v="Mar"/>
    <s v=""/>
  </r>
  <r>
    <n v="95"/>
    <d v="2024-02-25T00:00:00"/>
    <d v="2024-03-05T00:00:00"/>
    <x v="1"/>
    <x v="0"/>
    <x v="0"/>
    <s v="Team A"/>
    <n v="216"/>
    <x v="6"/>
    <x v="8"/>
    <s v="Feb"/>
    <s v="Mar"/>
  </r>
  <r>
    <n v="96"/>
    <d v="2024-02-22T00:00:00"/>
    <s v=""/>
    <x v="0"/>
    <x v="0"/>
    <x v="0"/>
    <s v="Team A"/>
    <s v=""/>
    <x v="6"/>
    <x v="0"/>
    <s v="Feb"/>
    <s v=""/>
  </r>
  <r>
    <n v="97"/>
    <d v="2024-02-28T00:00:00"/>
    <d v="2024-03-01T00:00:00"/>
    <x v="1"/>
    <x v="1"/>
    <x v="2"/>
    <s v="Team A"/>
    <n v="48"/>
    <x v="8"/>
    <x v="13"/>
    <s v="Feb"/>
    <s v="Mar"/>
  </r>
  <r>
    <n v="98"/>
    <d v="2024-02-19T00:00:00"/>
    <d v="2024-02-27T00:00:00"/>
    <x v="1"/>
    <x v="0"/>
    <x v="0"/>
    <s v="Team A"/>
    <n v="192"/>
    <x v="6"/>
    <x v="13"/>
    <s v="Feb"/>
    <s v="Feb"/>
  </r>
  <r>
    <n v="99"/>
    <d v="2024-02-22T00:00:00"/>
    <s v=""/>
    <x v="0"/>
    <x v="1"/>
    <x v="1"/>
    <s v="Team A"/>
    <s v=""/>
    <x v="6"/>
    <x v="0"/>
    <s v="Feb"/>
    <s v=""/>
  </r>
  <r>
    <n v="100"/>
    <d v="2024-03-08T00:00:00"/>
    <s v=""/>
    <x v="0"/>
    <x v="1"/>
    <x v="1"/>
    <s v="Team B"/>
    <s v=""/>
    <x v="9"/>
    <x v="0"/>
    <s v="Mar"/>
    <s v=""/>
  </r>
  <r>
    <n v="101"/>
    <d v="2024-03-03T00:00:00"/>
    <s v=""/>
    <x v="0"/>
    <x v="0"/>
    <x v="0"/>
    <s v="Team B"/>
    <s v=""/>
    <x v="8"/>
    <x v="0"/>
    <s v="Mar"/>
    <s v=""/>
  </r>
  <r>
    <n v="102"/>
    <d v="2024-02-02T00:00:00"/>
    <s v=""/>
    <x v="0"/>
    <x v="1"/>
    <x v="0"/>
    <s v="Team A"/>
    <s v=""/>
    <x v="7"/>
    <x v="0"/>
    <s v="Feb"/>
    <s v=""/>
  </r>
  <r>
    <n v="103"/>
    <d v="2024-01-03T00:00:00"/>
    <s v=""/>
    <x v="0"/>
    <x v="0"/>
    <x v="0"/>
    <s v="Team A"/>
    <s v=""/>
    <x v="4"/>
    <x v="0"/>
    <s v="Jan"/>
    <s v=""/>
  </r>
  <r>
    <n v="104"/>
    <d v="2024-03-17T00:00:00"/>
    <d v="2024-03-23T00:00:00"/>
    <x v="1"/>
    <x v="1"/>
    <x v="1"/>
    <s v="Team A"/>
    <n v="144"/>
    <x v="11"/>
    <x v="9"/>
    <s v="Mar"/>
    <s v="Mar"/>
  </r>
  <r>
    <n v="105"/>
    <d v="2024-03-28T00:00:00"/>
    <d v="2024-03-29T00:00:00"/>
    <x v="1"/>
    <x v="0"/>
    <x v="2"/>
    <s v="Team B"/>
    <n v="24"/>
    <x v="10"/>
    <x v="10"/>
    <s v="Mar"/>
    <s v="Mar"/>
  </r>
  <r>
    <n v="106"/>
    <d v="2024-03-08T00:00:00"/>
    <s v=""/>
    <x v="0"/>
    <x v="0"/>
    <x v="0"/>
    <s v="Team B"/>
    <s v=""/>
    <x v="9"/>
    <x v="0"/>
    <s v="Mar"/>
    <s v=""/>
  </r>
  <r>
    <n v="107"/>
    <d v="2024-03-18T00:00:00"/>
    <s v=""/>
    <x v="0"/>
    <x v="0"/>
    <x v="0"/>
    <s v="Team A"/>
    <s v=""/>
    <x v="5"/>
    <x v="0"/>
    <s v="Mar"/>
    <s v=""/>
  </r>
  <r>
    <n v="108"/>
    <d v="2024-02-14T00:00:00"/>
    <d v="2024-02-21T00:00:00"/>
    <x v="1"/>
    <x v="0"/>
    <x v="1"/>
    <s v="Team B"/>
    <n v="168"/>
    <x v="3"/>
    <x v="11"/>
    <s v="Feb"/>
    <s v="Feb"/>
  </r>
  <r>
    <n v="109"/>
    <d v="2024-01-13T00:00:00"/>
    <s v=""/>
    <x v="0"/>
    <x v="0"/>
    <x v="1"/>
    <s v="Team A"/>
    <s v=""/>
    <x v="0"/>
    <x v="0"/>
    <s v="Jan"/>
    <s v=""/>
  </r>
  <r>
    <n v="110"/>
    <d v="2024-01-11T00:00:00"/>
    <d v="2024-01-12T00:00:00"/>
    <x v="1"/>
    <x v="1"/>
    <x v="2"/>
    <s v="Team B"/>
    <n v="24"/>
    <x v="0"/>
    <x v="1"/>
    <s v="Jan"/>
    <s v="Jan"/>
  </r>
  <r>
    <n v="111"/>
    <d v="2024-02-12T00:00:00"/>
    <d v="2024-02-17T00:00:00"/>
    <x v="1"/>
    <x v="0"/>
    <x v="1"/>
    <s v="Team B"/>
    <n v="120"/>
    <x v="3"/>
    <x v="7"/>
    <s v="Feb"/>
    <s v="Feb"/>
  </r>
  <r>
    <n v="112"/>
    <d v="2024-02-19T00:00:00"/>
    <s v=""/>
    <x v="0"/>
    <x v="1"/>
    <x v="0"/>
    <s v="Team B"/>
    <s v=""/>
    <x v="6"/>
    <x v="0"/>
    <s v="Feb"/>
    <s v=""/>
  </r>
  <r>
    <n v="113"/>
    <d v="2024-03-07T00:00:00"/>
    <s v=""/>
    <x v="0"/>
    <x v="1"/>
    <x v="2"/>
    <s v="Team B"/>
    <s v=""/>
    <x v="9"/>
    <x v="0"/>
    <s v="Mar"/>
    <s v=""/>
  </r>
  <r>
    <n v="114"/>
    <d v="2024-03-28T00:00:00"/>
    <s v=""/>
    <x v="0"/>
    <x v="0"/>
    <x v="0"/>
    <s v="Team A"/>
    <s v=""/>
    <x v="10"/>
    <x v="0"/>
    <s v="Mar"/>
    <s v=""/>
  </r>
  <r>
    <n v="115"/>
    <d v="2024-02-05T00:00:00"/>
    <s v=""/>
    <x v="0"/>
    <x v="1"/>
    <x v="2"/>
    <s v="Team A"/>
    <s v=""/>
    <x v="1"/>
    <x v="0"/>
    <s v="Feb"/>
    <s v=""/>
  </r>
  <r>
    <n v="116"/>
    <d v="2024-03-01T00:00:00"/>
    <s v=""/>
    <x v="0"/>
    <x v="0"/>
    <x v="1"/>
    <s v="Team A"/>
    <s v=""/>
    <x v="8"/>
    <x v="0"/>
    <s v="Mar"/>
    <s v=""/>
  </r>
  <r>
    <n v="117"/>
    <d v="2024-02-19T00:00:00"/>
    <s v=""/>
    <x v="0"/>
    <x v="0"/>
    <x v="2"/>
    <s v="Team A"/>
    <s v=""/>
    <x v="6"/>
    <x v="0"/>
    <s v="Feb"/>
    <s v=""/>
  </r>
  <r>
    <n v="118"/>
    <d v="2024-02-25T00:00:00"/>
    <s v=""/>
    <x v="0"/>
    <x v="1"/>
    <x v="1"/>
    <s v="Team A"/>
    <s v=""/>
    <x v="6"/>
    <x v="0"/>
    <s v="Feb"/>
    <s v=""/>
  </r>
  <r>
    <n v="119"/>
    <d v="2024-01-22T00:00:00"/>
    <s v=""/>
    <x v="0"/>
    <x v="1"/>
    <x v="0"/>
    <s v="Team A"/>
    <s v=""/>
    <x v="12"/>
    <x v="0"/>
    <s v="Jan"/>
    <s v=""/>
  </r>
  <r>
    <n v="120"/>
    <d v="2024-01-30T00:00:00"/>
    <s v=""/>
    <x v="0"/>
    <x v="1"/>
    <x v="0"/>
    <s v="Team B"/>
    <s v=""/>
    <x v="7"/>
    <x v="0"/>
    <s v="Jan"/>
    <s v=""/>
  </r>
  <r>
    <n v="121"/>
    <d v="2024-01-22T00:00:00"/>
    <s v=""/>
    <x v="0"/>
    <x v="0"/>
    <x v="0"/>
    <s v="Team B"/>
    <s v=""/>
    <x v="12"/>
    <x v="0"/>
    <s v="Jan"/>
    <s v=""/>
  </r>
  <r>
    <n v="122"/>
    <d v="2024-03-06T00:00:00"/>
    <s v=""/>
    <x v="0"/>
    <x v="1"/>
    <x v="1"/>
    <s v="Team B"/>
    <s v=""/>
    <x v="9"/>
    <x v="0"/>
    <s v="Mar"/>
    <s v=""/>
  </r>
  <r>
    <n v="123"/>
    <d v="2024-01-15T00:00:00"/>
    <s v=""/>
    <x v="0"/>
    <x v="0"/>
    <x v="0"/>
    <s v="Team B"/>
    <s v=""/>
    <x v="2"/>
    <x v="0"/>
    <s v="Jan"/>
    <s v=""/>
  </r>
  <r>
    <n v="124"/>
    <d v="2024-02-09T00:00:00"/>
    <s v=""/>
    <x v="0"/>
    <x v="0"/>
    <x v="0"/>
    <s v="Team A"/>
    <s v=""/>
    <x v="1"/>
    <x v="0"/>
    <s v="Feb"/>
    <s v=""/>
  </r>
  <r>
    <n v="125"/>
    <d v="2024-01-25T00:00:00"/>
    <s v=""/>
    <x v="0"/>
    <x v="1"/>
    <x v="1"/>
    <s v="Team A"/>
    <s v=""/>
    <x v="12"/>
    <x v="0"/>
    <s v="Jan"/>
    <s v=""/>
  </r>
  <r>
    <n v="126"/>
    <d v="2024-01-14T00:00:00"/>
    <d v="2024-01-22T00:00:00"/>
    <x v="1"/>
    <x v="1"/>
    <x v="0"/>
    <s v="Team B"/>
    <n v="192"/>
    <x v="0"/>
    <x v="14"/>
    <s v="Jan"/>
    <s v="Jan"/>
  </r>
  <r>
    <n v="127"/>
    <d v="2024-01-28T00:00:00"/>
    <s v=""/>
    <x v="0"/>
    <x v="0"/>
    <x v="0"/>
    <s v="Team A"/>
    <s v=""/>
    <x v="12"/>
    <x v="0"/>
    <s v="Jan"/>
    <s v=""/>
  </r>
  <r>
    <n v="128"/>
    <d v="2024-02-08T00:00:00"/>
    <s v=""/>
    <x v="0"/>
    <x v="0"/>
    <x v="0"/>
    <s v="Team A"/>
    <s v=""/>
    <x v="1"/>
    <x v="0"/>
    <s v="Feb"/>
    <s v=""/>
  </r>
  <r>
    <n v="129"/>
    <d v="2024-03-11T00:00:00"/>
    <s v=""/>
    <x v="0"/>
    <x v="0"/>
    <x v="0"/>
    <s v="Team B"/>
    <s v=""/>
    <x v="11"/>
    <x v="0"/>
    <s v="Mar"/>
    <s v=""/>
  </r>
  <r>
    <n v="130"/>
    <d v="2024-01-19T00:00:00"/>
    <d v="2024-01-24T00:00:00"/>
    <x v="1"/>
    <x v="1"/>
    <x v="0"/>
    <s v="Team A"/>
    <n v="120"/>
    <x v="2"/>
    <x v="14"/>
    <s v="Jan"/>
    <s v="Jan"/>
  </r>
  <r>
    <n v="131"/>
    <d v="2024-02-06T00:00:00"/>
    <d v="2024-02-13T00:00:00"/>
    <x v="1"/>
    <x v="0"/>
    <x v="0"/>
    <s v="Team B"/>
    <n v="168"/>
    <x v="1"/>
    <x v="7"/>
    <s v="Feb"/>
    <s v="Feb"/>
  </r>
  <r>
    <n v="132"/>
    <d v="2024-02-01T00:00:00"/>
    <s v=""/>
    <x v="0"/>
    <x v="0"/>
    <x v="2"/>
    <s v="Team A"/>
    <s v=""/>
    <x v="7"/>
    <x v="0"/>
    <s v="Feb"/>
    <s v=""/>
  </r>
  <r>
    <n v="133"/>
    <d v="2024-02-05T00:00:00"/>
    <d v="2024-02-09T00:00:00"/>
    <x v="1"/>
    <x v="0"/>
    <x v="1"/>
    <s v="Team A"/>
    <n v="96"/>
    <x v="1"/>
    <x v="3"/>
    <s v="Feb"/>
    <s v="Feb"/>
  </r>
  <r>
    <n v="134"/>
    <d v="2024-02-18T00:00:00"/>
    <d v="2024-02-26T00:00:00"/>
    <x v="1"/>
    <x v="1"/>
    <x v="2"/>
    <s v="Team A"/>
    <n v="192"/>
    <x v="3"/>
    <x v="13"/>
    <s v="Feb"/>
    <s v="Feb"/>
  </r>
  <r>
    <n v="135"/>
    <d v="2024-01-04T00:00:00"/>
    <d v="2024-01-12T00:00:00"/>
    <x v="1"/>
    <x v="0"/>
    <x v="0"/>
    <s v="Team B"/>
    <n v="192"/>
    <x v="4"/>
    <x v="1"/>
    <s v="Jan"/>
    <s v="Jan"/>
  </r>
  <r>
    <n v="136"/>
    <d v="2024-03-22T00:00:00"/>
    <d v="2024-03-24T00:00:00"/>
    <x v="1"/>
    <x v="1"/>
    <x v="2"/>
    <s v="Team A"/>
    <n v="48"/>
    <x v="5"/>
    <x v="9"/>
    <s v="Mar"/>
    <s v="Mar"/>
  </r>
  <r>
    <n v="137"/>
    <d v="2024-01-01T00:00:00"/>
    <d v="2024-01-06T00:00:00"/>
    <x v="1"/>
    <x v="0"/>
    <x v="0"/>
    <s v="Team B"/>
    <n v="120"/>
    <x v="4"/>
    <x v="2"/>
    <s v="Jan"/>
    <s v="Jan"/>
  </r>
  <r>
    <n v="138"/>
    <d v="2024-02-23T00:00:00"/>
    <s v=""/>
    <x v="0"/>
    <x v="0"/>
    <x v="0"/>
    <s v="Team B"/>
    <s v=""/>
    <x v="6"/>
    <x v="0"/>
    <s v="Feb"/>
    <s v=""/>
  </r>
  <r>
    <n v="139"/>
    <d v="2024-01-14T00:00:00"/>
    <d v="2024-01-15T00:00:00"/>
    <x v="1"/>
    <x v="0"/>
    <x v="0"/>
    <s v="Team B"/>
    <n v="24"/>
    <x v="0"/>
    <x v="4"/>
    <s v="Jan"/>
    <s v="Jan"/>
  </r>
  <r>
    <n v="140"/>
    <d v="2024-01-07T00:00:00"/>
    <s v=""/>
    <x v="0"/>
    <x v="0"/>
    <x v="2"/>
    <s v="Team B"/>
    <s v=""/>
    <x v="4"/>
    <x v="0"/>
    <s v="Jan"/>
    <s v=""/>
  </r>
  <r>
    <n v="141"/>
    <d v="2024-03-20T00:00:00"/>
    <s v=""/>
    <x v="0"/>
    <x v="1"/>
    <x v="0"/>
    <s v="Team B"/>
    <s v=""/>
    <x v="5"/>
    <x v="0"/>
    <s v="Mar"/>
    <s v=""/>
  </r>
  <r>
    <n v="142"/>
    <d v="2024-03-23T00:00:00"/>
    <s v=""/>
    <x v="0"/>
    <x v="0"/>
    <x v="1"/>
    <s v="Team A"/>
    <s v=""/>
    <x v="5"/>
    <x v="0"/>
    <s v="Mar"/>
    <s v=""/>
  </r>
  <r>
    <n v="143"/>
    <d v="2024-01-12T00:00:00"/>
    <d v="2024-01-22T00:00:00"/>
    <x v="1"/>
    <x v="0"/>
    <x v="0"/>
    <s v="Team B"/>
    <n v="240"/>
    <x v="0"/>
    <x v="14"/>
    <s v="Jan"/>
    <s v="Jan"/>
  </r>
  <r>
    <n v="144"/>
    <d v="2024-03-19T00:00:00"/>
    <s v=""/>
    <x v="0"/>
    <x v="0"/>
    <x v="0"/>
    <s v="Team B"/>
    <s v=""/>
    <x v="5"/>
    <x v="0"/>
    <s v="Mar"/>
    <s v=""/>
  </r>
  <r>
    <n v="145"/>
    <d v="2024-02-04T00:00:00"/>
    <d v="2024-02-07T00:00:00"/>
    <x v="1"/>
    <x v="1"/>
    <x v="1"/>
    <s v="Team B"/>
    <n v="72"/>
    <x v="7"/>
    <x v="3"/>
    <s v="Feb"/>
    <s v="Feb"/>
  </r>
  <r>
    <n v="146"/>
    <d v="2024-02-28T00:00:00"/>
    <s v=""/>
    <x v="0"/>
    <x v="1"/>
    <x v="0"/>
    <s v="Team B"/>
    <s v=""/>
    <x v="8"/>
    <x v="0"/>
    <s v="Feb"/>
    <s v=""/>
  </r>
  <r>
    <n v="147"/>
    <d v="2024-01-25T00:00:00"/>
    <d v="2024-02-02T00:00:00"/>
    <x v="1"/>
    <x v="0"/>
    <x v="0"/>
    <s v="Team A"/>
    <n v="192"/>
    <x v="12"/>
    <x v="6"/>
    <s v="Jan"/>
    <s v="Feb"/>
  </r>
  <r>
    <n v="148"/>
    <d v="2024-02-27T00:00:00"/>
    <s v=""/>
    <x v="0"/>
    <x v="0"/>
    <x v="0"/>
    <s v="Team B"/>
    <s v=""/>
    <x v="8"/>
    <x v="0"/>
    <s v="Feb"/>
    <s v=""/>
  </r>
  <r>
    <n v="149"/>
    <d v="2024-02-25T00:00:00"/>
    <d v="2024-03-06T00:00:00"/>
    <x v="1"/>
    <x v="0"/>
    <x v="2"/>
    <s v="Team A"/>
    <n v="240"/>
    <x v="6"/>
    <x v="8"/>
    <s v="Feb"/>
    <s v="Mar"/>
  </r>
  <r>
    <n v="150"/>
    <d v="2024-01-21T00:00:00"/>
    <s v=""/>
    <x v="0"/>
    <x v="0"/>
    <x v="2"/>
    <s v="Team B"/>
    <s v=""/>
    <x v="2"/>
    <x v="0"/>
    <s v="Jan"/>
    <s v=""/>
  </r>
  <r>
    <n v="151"/>
    <d v="2024-03-26T00:00:00"/>
    <s v=""/>
    <x v="0"/>
    <x v="0"/>
    <x v="0"/>
    <s v="Team A"/>
    <s v=""/>
    <x v="10"/>
    <x v="0"/>
    <s v="Mar"/>
    <s v=""/>
  </r>
  <r>
    <n v="152"/>
    <d v="2024-02-19T00:00:00"/>
    <s v=""/>
    <x v="0"/>
    <x v="1"/>
    <x v="1"/>
    <s v="Team A"/>
    <s v=""/>
    <x v="6"/>
    <x v="0"/>
    <s v="Feb"/>
    <s v=""/>
  </r>
  <r>
    <n v="153"/>
    <d v="2024-03-26T00:00:00"/>
    <s v=""/>
    <x v="0"/>
    <x v="1"/>
    <x v="1"/>
    <s v="Team A"/>
    <s v=""/>
    <x v="10"/>
    <x v="0"/>
    <s v="Mar"/>
    <s v=""/>
  </r>
  <r>
    <n v="154"/>
    <d v="2024-03-19T00:00:00"/>
    <d v="2024-03-20T00:00:00"/>
    <x v="1"/>
    <x v="1"/>
    <x v="2"/>
    <s v="Team B"/>
    <n v="24"/>
    <x v="5"/>
    <x v="9"/>
    <s v="Mar"/>
    <s v="Mar"/>
  </r>
  <r>
    <n v="155"/>
    <d v="2024-02-03T00:00:00"/>
    <s v=""/>
    <x v="0"/>
    <x v="1"/>
    <x v="1"/>
    <s v="Team B"/>
    <s v=""/>
    <x v="7"/>
    <x v="0"/>
    <s v="Feb"/>
    <s v=""/>
  </r>
  <r>
    <n v="156"/>
    <d v="2024-02-10T00:00:00"/>
    <s v=""/>
    <x v="0"/>
    <x v="0"/>
    <x v="0"/>
    <s v="Team A"/>
    <s v=""/>
    <x v="1"/>
    <x v="0"/>
    <s v="Feb"/>
    <s v=""/>
  </r>
  <r>
    <n v="157"/>
    <d v="2024-02-13T00:00:00"/>
    <d v="2024-02-21T00:00:00"/>
    <x v="1"/>
    <x v="0"/>
    <x v="0"/>
    <s v="Team A"/>
    <n v="192"/>
    <x v="3"/>
    <x v="11"/>
    <s v="Feb"/>
    <s v="Feb"/>
  </r>
  <r>
    <n v="158"/>
    <d v="2024-03-19T00:00:00"/>
    <s v=""/>
    <x v="0"/>
    <x v="0"/>
    <x v="1"/>
    <s v="Team A"/>
    <s v=""/>
    <x v="5"/>
    <x v="0"/>
    <s v="Mar"/>
    <s v=""/>
  </r>
  <r>
    <n v="159"/>
    <d v="2024-01-11T00:00:00"/>
    <s v=""/>
    <x v="0"/>
    <x v="1"/>
    <x v="0"/>
    <s v="Team B"/>
    <s v=""/>
    <x v="0"/>
    <x v="0"/>
    <s v="Jan"/>
    <s v=""/>
  </r>
  <r>
    <n v="160"/>
    <d v="2024-01-03T00:00:00"/>
    <s v=""/>
    <x v="0"/>
    <x v="0"/>
    <x v="1"/>
    <s v="Team B"/>
    <s v=""/>
    <x v="4"/>
    <x v="0"/>
    <s v="Jan"/>
    <s v=""/>
  </r>
  <r>
    <n v="161"/>
    <d v="2024-03-17T00:00:00"/>
    <s v=""/>
    <x v="0"/>
    <x v="1"/>
    <x v="0"/>
    <s v="Team B"/>
    <s v=""/>
    <x v="11"/>
    <x v="0"/>
    <s v="Mar"/>
    <s v=""/>
  </r>
  <r>
    <n v="162"/>
    <d v="2024-01-30T00:00:00"/>
    <d v="2024-01-31T00:00:00"/>
    <x v="1"/>
    <x v="0"/>
    <x v="2"/>
    <s v="Team B"/>
    <n v="24"/>
    <x v="7"/>
    <x v="6"/>
    <s v="Jan"/>
    <s v="Jan"/>
  </r>
  <r>
    <n v="163"/>
    <d v="2024-02-24T00:00:00"/>
    <d v="2024-02-28T00:00:00"/>
    <x v="1"/>
    <x v="0"/>
    <x v="0"/>
    <s v="Team A"/>
    <n v="96"/>
    <x v="6"/>
    <x v="13"/>
    <s v="Feb"/>
    <s v="Feb"/>
  </r>
  <r>
    <n v="164"/>
    <d v="2024-03-23T00:00:00"/>
    <s v=""/>
    <x v="0"/>
    <x v="0"/>
    <x v="0"/>
    <s v="Team A"/>
    <s v=""/>
    <x v="5"/>
    <x v="0"/>
    <s v="Mar"/>
    <s v=""/>
  </r>
  <r>
    <n v="165"/>
    <d v="2024-02-06T00:00:00"/>
    <s v=""/>
    <x v="0"/>
    <x v="1"/>
    <x v="1"/>
    <s v="Team B"/>
    <s v=""/>
    <x v="1"/>
    <x v="0"/>
    <s v="Feb"/>
    <s v=""/>
  </r>
  <r>
    <n v="166"/>
    <d v="2024-01-26T00:00:00"/>
    <s v=""/>
    <x v="0"/>
    <x v="0"/>
    <x v="0"/>
    <s v="Team B"/>
    <s v=""/>
    <x v="12"/>
    <x v="0"/>
    <s v="Jan"/>
    <s v=""/>
  </r>
  <r>
    <n v="167"/>
    <d v="2024-01-27T00:00:00"/>
    <d v="2024-02-05T00:00:00"/>
    <x v="1"/>
    <x v="0"/>
    <x v="2"/>
    <s v="Team A"/>
    <n v="216"/>
    <x v="12"/>
    <x v="3"/>
    <s v="Jan"/>
    <s v="Feb"/>
  </r>
  <r>
    <n v="168"/>
    <d v="2024-03-29T00:00:00"/>
    <s v=""/>
    <x v="0"/>
    <x v="1"/>
    <x v="0"/>
    <s v="Team A"/>
    <s v=""/>
    <x v="10"/>
    <x v="0"/>
    <s v="Mar"/>
    <s v=""/>
  </r>
  <r>
    <n v="169"/>
    <d v="2024-02-16T00:00:00"/>
    <s v=""/>
    <x v="0"/>
    <x v="1"/>
    <x v="2"/>
    <s v="Team B"/>
    <s v=""/>
    <x v="3"/>
    <x v="0"/>
    <s v="Feb"/>
    <s v=""/>
  </r>
  <r>
    <n v="170"/>
    <d v="2024-03-13T00:00:00"/>
    <s v=""/>
    <x v="0"/>
    <x v="0"/>
    <x v="0"/>
    <s v="Team B"/>
    <s v=""/>
    <x v="11"/>
    <x v="0"/>
    <s v="Mar"/>
    <s v=""/>
  </r>
  <r>
    <n v="171"/>
    <d v="2024-01-04T00:00:00"/>
    <s v=""/>
    <x v="0"/>
    <x v="0"/>
    <x v="2"/>
    <s v="Team A"/>
    <s v=""/>
    <x v="4"/>
    <x v="0"/>
    <s v="Jan"/>
    <s v=""/>
  </r>
  <r>
    <n v="172"/>
    <d v="2024-01-08T00:00:00"/>
    <d v="2024-01-11T00:00:00"/>
    <x v="1"/>
    <x v="0"/>
    <x v="1"/>
    <s v="Team B"/>
    <n v="72"/>
    <x v="0"/>
    <x v="1"/>
    <s v="Jan"/>
    <s v="Jan"/>
  </r>
  <r>
    <n v="173"/>
    <d v="2024-03-10T00:00:00"/>
    <d v="2024-03-15T00:00:00"/>
    <x v="1"/>
    <x v="1"/>
    <x v="0"/>
    <s v="Team A"/>
    <n v="120"/>
    <x v="9"/>
    <x v="12"/>
    <s v="Mar"/>
    <s v="Mar"/>
  </r>
  <r>
    <n v="174"/>
    <d v="2024-01-04T00:00:00"/>
    <d v="2024-01-08T00:00:00"/>
    <x v="1"/>
    <x v="1"/>
    <x v="0"/>
    <s v="Team B"/>
    <n v="96"/>
    <x v="4"/>
    <x v="1"/>
    <s v="Jan"/>
    <s v="Jan"/>
  </r>
  <r>
    <n v="175"/>
    <d v="2024-01-13T00:00:00"/>
    <s v=""/>
    <x v="0"/>
    <x v="1"/>
    <x v="2"/>
    <s v="Team A"/>
    <s v=""/>
    <x v="0"/>
    <x v="0"/>
    <s v="Jan"/>
    <s v=""/>
  </r>
  <r>
    <n v="176"/>
    <d v="2024-03-04T00:00:00"/>
    <s v=""/>
    <x v="0"/>
    <x v="1"/>
    <x v="0"/>
    <s v="Team B"/>
    <s v=""/>
    <x v="9"/>
    <x v="0"/>
    <s v="Mar"/>
    <s v=""/>
  </r>
  <r>
    <n v="177"/>
    <d v="2024-01-30T00:00:00"/>
    <s v=""/>
    <x v="0"/>
    <x v="0"/>
    <x v="0"/>
    <s v="Team B"/>
    <s v=""/>
    <x v="7"/>
    <x v="0"/>
    <s v="Jan"/>
    <s v=""/>
  </r>
  <r>
    <n v="178"/>
    <d v="2024-03-11T00:00:00"/>
    <s v=""/>
    <x v="0"/>
    <x v="1"/>
    <x v="1"/>
    <s v="Team A"/>
    <s v=""/>
    <x v="11"/>
    <x v="0"/>
    <s v="Mar"/>
    <s v=""/>
  </r>
  <r>
    <n v="179"/>
    <d v="2024-02-13T00:00:00"/>
    <s v=""/>
    <x v="0"/>
    <x v="0"/>
    <x v="1"/>
    <s v="Team A"/>
    <s v=""/>
    <x v="3"/>
    <x v="0"/>
    <s v="Feb"/>
    <s v=""/>
  </r>
  <r>
    <n v="180"/>
    <d v="2024-03-17T00:00:00"/>
    <d v="2024-03-20T00:00:00"/>
    <x v="1"/>
    <x v="0"/>
    <x v="0"/>
    <s v="Team B"/>
    <n v="72"/>
    <x v="11"/>
    <x v="9"/>
    <s v="Mar"/>
    <s v="Mar"/>
  </r>
  <r>
    <n v="181"/>
    <d v="2024-03-24T00:00:00"/>
    <m/>
    <x v="1"/>
    <x v="1"/>
    <x v="0"/>
    <s v="Team A"/>
    <n v="240"/>
    <x v="5"/>
    <x v="0"/>
    <s v="Mar"/>
    <s v=""/>
  </r>
  <r>
    <n v="182"/>
    <d v="2024-01-25T00:00:00"/>
    <s v=""/>
    <x v="0"/>
    <x v="1"/>
    <x v="2"/>
    <s v="Team A"/>
    <s v=""/>
    <x v="12"/>
    <x v="0"/>
    <s v="Jan"/>
    <s v=""/>
  </r>
  <r>
    <n v="183"/>
    <d v="2024-01-07T00:00:00"/>
    <s v=""/>
    <x v="0"/>
    <x v="0"/>
    <x v="2"/>
    <s v="Team B"/>
    <s v=""/>
    <x v="4"/>
    <x v="0"/>
    <s v="Jan"/>
    <s v=""/>
  </r>
  <r>
    <n v="184"/>
    <d v="2024-02-09T00:00:00"/>
    <s v=""/>
    <x v="0"/>
    <x v="0"/>
    <x v="1"/>
    <s v="Team A"/>
    <s v=""/>
    <x v="1"/>
    <x v="0"/>
    <s v="Feb"/>
    <s v=""/>
  </r>
  <r>
    <n v="185"/>
    <d v="2024-01-01T00:00:00"/>
    <s v=""/>
    <x v="0"/>
    <x v="1"/>
    <x v="0"/>
    <s v="Team B"/>
    <s v=""/>
    <x v="4"/>
    <x v="0"/>
    <s v="Jan"/>
    <s v=""/>
  </r>
  <r>
    <n v="186"/>
    <d v="2024-03-09T00:00:00"/>
    <s v=""/>
    <x v="0"/>
    <x v="1"/>
    <x v="0"/>
    <s v="Team A"/>
    <s v=""/>
    <x v="9"/>
    <x v="0"/>
    <s v="Mar"/>
    <s v=""/>
  </r>
  <r>
    <n v="187"/>
    <d v="2024-02-21T00:00:00"/>
    <s v=""/>
    <x v="0"/>
    <x v="1"/>
    <x v="0"/>
    <s v="Team B"/>
    <s v=""/>
    <x v="6"/>
    <x v="0"/>
    <s v="Feb"/>
    <s v=""/>
  </r>
  <r>
    <n v="188"/>
    <d v="2024-03-01T00:00:00"/>
    <s v=""/>
    <x v="0"/>
    <x v="0"/>
    <x v="0"/>
    <s v="Team B"/>
    <s v=""/>
    <x v="8"/>
    <x v="0"/>
    <s v="Mar"/>
    <s v=""/>
  </r>
  <r>
    <n v="189"/>
    <d v="2024-02-10T00:00:00"/>
    <d v="2024-02-19T00:00:00"/>
    <x v="1"/>
    <x v="0"/>
    <x v="1"/>
    <s v="Team B"/>
    <n v="216"/>
    <x v="1"/>
    <x v="11"/>
    <s v="Feb"/>
    <s v="Feb"/>
  </r>
  <r>
    <n v="190"/>
    <d v="2024-02-16T00:00:00"/>
    <s v=""/>
    <x v="0"/>
    <x v="1"/>
    <x v="1"/>
    <s v="Team A"/>
    <s v=""/>
    <x v="3"/>
    <x v="0"/>
    <s v="Feb"/>
    <s v=""/>
  </r>
  <r>
    <n v="191"/>
    <d v="2024-02-10T00:00:00"/>
    <s v=""/>
    <x v="0"/>
    <x v="0"/>
    <x v="0"/>
    <s v="Team B"/>
    <s v=""/>
    <x v="1"/>
    <x v="0"/>
    <s v="Feb"/>
    <s v=""/>
  </r>
  <r>
    <n v="192"/>
    <d v="2024-02-16T00:00:00"/>
    <s v=""/>
    <x v="0"/>
    <x v="1"/>
    <x v="0"/>
    <s v="Team A"/>
    <s v=""/>
    <x v="3"/>
    <x v="0"/>
    <s v="Feb"/>
    <s v=""/>
  </r>
  <r>
    <n v="193"/>
    <d v="2024-02-05T00:00:00"/>
    <d v="2024-02-11T00:00:00"/>
    <x v="1"/>
    <x v="1"/>
    <x v="2"/>
    <s v="Team A"/>
    <n v="144"/>
    <x v="1"/>
    <x v="3"/>
    <s v="Feb"/>
    <s v="Feb"/>
  </r>
  <r>
    <n v="194"/>
    <d v="2024-02-21T00:00:00"/>
    <s v=""/>
    <x v="0"/>
    <x v="0"/>
    <x v="2"/>
    <s v="Team A"/>
    <s v=""/>
    <x v="6"/>
    <x v="0"/>
    <s v="Feb"/>
    <s v=""/>
  </r>
  <r>
    <n v="195"/>
    <d v="2024-02-28T00:00:00"/>
    <s v=""/>
    <x v="0"/>
    <x v="1"/>
    <x v="1"/>
    <s v="Team B"/>
    <s v=""/>
    <x v="8"/>
    <x v="0"/>
    <s v="Feb"/>
    <s v=""/>
  </r>
  <r>
    <n v="196"/>
    <d v="2024-03-01T00:00:00"/>
    <d v="2024-03-09T00:00:00"/>
    <x v="1"/>
    <x v="1"/>
    <x v="2"/>
    <s v="Team A"/>
    <n v="192"/>
    <x v="8"/>
    <x v="8"/>
    <s v="Mar"/>
    <s v="Mar"/>
  </r>
  <r>
    <n v="197"/>
    <d v="2024-02-11T00:00:00"/>
    <s v=""/>
    <x v="0"/>
    <x v="0"/>
    <x v="2"/>
    <s v="Team A"/>
    <s v=""/>
    <x v="1"/>
    <x v="0"/>
    <s v="Feb"/>
    <s v=""/>
  </r>
  <r>
    <n v="198"/>
    <d v="2024-03-06T00:00:00"/>
    <s v=""/>
    <x v="0"/>
    <x v="1"/>
    <x v="1"/>
    <s v="Team A"/>
    <s v=""/>
    <x v="9"/>
    <x v="0"/>
    <s v="Mar"/>
    <s v=""/>
  </r>
  <r>
    <n v="199"/>
    <d v="2024-03-30T00:00:00"/>
    <s v=""/>
    <x v="0"/>
    <x v="1"/>
    <x v="1"/>
    <s v="Team B"/>
    <s v=""/>
    <x v="10"/>
    <x v="0"/>
    <s v="Mar"/>
    <s v=""/>
  </r>
  <r>
    <n v="200"/>
    <d v="2024-03-28T00:00:00"/>
    <s v=""/>
    <x v="0"/>
    <x v="1"/>
    <x v="0"/>
    <s v="Team B"/>
    <s v=""/>
    <x v="10"/>
    <x v="0"/>
    <s v="Mar"/>
    <s v=""/>
  </r>
  <r>
    <n v="201"/>
    <d v="2024-01-13T00:00:00"/>
    <d v="2024-01-17T00:00:00"/>
    <x v="1"/>
    <x v="1"/>
    <x v="1"/>
    <s v="Team B"/>
    <n v="96"/>
    <x v="0"/>
    <x v="4"/>
    <s v="Jan"/>
    <s v="Jan"/>
  </r>
  <r>
    <n v="202"/>
    <d v="2024-03-08T00:00:00"/>
    <m/>
    <x v="0"/>
    <x v="0"/>
    <x v="1"/>
    <s v="Team A"/>
    <m/>
    <x v="9"/>
    <x v="0"/>
    <s v="Mar"/>
    <s v=""/>
  </r>
  <r>
    <n v="203"/>
    <d v="2024-03-27T00:00:00"/>
    <d v="2024-04-01T00:00:00"/>
    <x v="1"/>
    <x v="0"/>
    <x v="1"/>
    <s v="Team A"/>
    <n v="120"/>
    <x v="10"/>
    <x v="5"/>
    <s v="Mar"/>
    <s v="Apr"/>
  </r>
  <r>
    <n v="204"/>
    <d v="2024-03-06T00:00:00"/>
    <d v="2024-03-15T00:00:00"/>
    <x v="1"/>
    <x v="1"/>
    <x v="0"/>
    <s v="Team B"/>
    <n v="216"/>
    <x v="9"/>
    <x v="12"/>
    <s v="Mar"/>
    <s v="Mar"/>
  </r>
  <r>
    <n v="205"/>
    <d v="2024-01-24T00:00:00"/>
    <s v=""/>
    <x v="0"/>
    <x v="0"/>
    <x v="0"/>
    <s v="Team A"/>
    <s v=""/>
    <x v="12"/>
    <x v="0"/>
    <s v="Jan"/>
    <s v=""/>
  </r>
  <r>
    <n v="206"/>
    <d v="2024-02-16T00:00:00"/>
    <d v="2024-02-17T00:00:00"/>
    <x v="1"/>
    <x v="0"/>
    <x v="2"/>
    <s v="Team A"/>
    <n v="24"/>
    <x v="3"/>
    <x v="7"/>
    <s v="Feb"/>
    <s v="Feb"/>
  </r>
  <r>
    <n v="207"/>
    <d v="2024-03-13T00:00:00"/>
    <d v="2024-03-17T00:00:00"/>
    <x v="1"/>
    <x v="0"/>
    <x v="0"/>
    <s v="Team B"/>
    <n v="96"/>
    <x v="11"/>
    <x v="12"/>
    <s v="Mar"/>
    <s v="Mar"/>
  </r>
  <r>
    <n v="208"/>
    <d v="2024-03-04T00:00:00"/>
    <d v="2024-03-09T00:00:00"/>
    <x v="1"/>
    <x v="0"/>
    <x v="2"/>
    <s v="Team A"/>
    <n v="120"/>
    <x v="9"/>
    <x v="8"/>
    <s v="Mar"/>
    <s v="Mar"/>
  </r>
  <r>
    <n v="209"/>
    <d v="2024-02-05T00:00:00"/>
    <s v=""/>
    <x v="0"/>
    <x v="0"/>
    <x v="1"/>
    <s v="Team B"/>
    <s v=""/>
    <x v="1"/>
    <x v="0"/>
    <s v="Feb"/>
    <s v=""/>
  </r>
  <r>
    <n v="210"/>
    <d v="2024-02-01T00:00:00"/>
    <d v="2024-02-06T00:00:00"/>
    <x v="1"/>
    <x v="0"/>
    <x v="0"/>
    <s v="Team B"/>
    <n v="120"/>
    <x v="7"/>
    <x v="3"/>
    <s v="Feb"/>
    <s v="Feb"/>
  </r>
  <r>
    <n v="211"/>
    <d v="2024-03-08T00:00:00"/>
    <d v="2024-03-12T00:00:00"/>
    <x v="1"/>
    <x v="1"/>
    <x v="0"/>
    <s v="Team B"/>
    <n v="96"/>
    <x v="9"/>
    <x v="12"/>
    <s v="Mar"/>
    <s v="Mar"/>
  </r>
  <r>
    <n v="212"/>
    <d v="2024-03-10T00:00:00"/>
    <s v=""/>
    <x v="0"/>
    <x v="1"/>
    <x v="0"/>
    <s v="Team A"/>
    <s v=""/>
    <x v="9"/>
    <x v="0"/>
    <s v="Mar"/>
    <s v=""/>
  </r>
  <r>
    <n v="213"/>
    <d v="2024-03-26T00:00:00"/>
    <s v=""/>
    <x v="0"/>
    <x v="1"/>
    <x v="1"/>
    <s v="Team B"/>
    <s v=""/>
    <x v="10"/>
    <x v="0"/>
    <s v="Mar"/>
    <s v=""/>
  </r>
  <r>
    <n v="214"/>
    <d v="2024-01-13T00:00:00"/>
    <s v=""/>
    <x v="0"/>
    <x v="1"/>
    <x v="2"/>
    <s v="Team B"/>
    <s v=""/>
    <x v="0"/>
    <x v="0"/>
    <s v="Jan"/>
    <s v=""/>
  </r>
  <r>
    <n v="215"/>
    <d v="2024-01-27T00:00:00"/>
    <s v=""/>
    <x v="0"/>
    <x v="0"/>
    <x v="0"/>
    <s v="Team A"/>
    <s v=""/>
    <x v="12"/>
    <x v="0"/>
    <s v="Jan"/>
    <s v=""/>
  </r>
  <r>
    <n v="216"/>
    <d v="2024-01-24T00:00:00"/>
    <d v="2024-01-26T00:00:00"/>
    <x v="1"/>
    <x v="0"/>
    <x v="0"/>
    <s v="Team A"/>
    <n v="48"/>
    <x v="12"/>
    <x v="14"/>
    <s v="Jan"/>
    <s v="Jan"/>
  </r>
  <r>
    <n v="217"/>
    <d v="2024-03-14T00:00:00"/>
    <d v="2024-03-22T00:00:00"/>
    <x v="1"/>
    <x v="0"/>
    <x v="0"/>
    <s v="Team B"/>
    <n v="192"/>
    <x v="11"/>
    <x v="9"/>
    <s v="Mar"/>
    <s v="Mar"/>
  </r>
  <r>
    <n v="218"/>
    <d v="2024-02-15T00:00:00"/>
    <d v="2024-02-21T00:00:00"/>
    <x v="1"/>
    <x v="1"/>
    <x v="1"/>
    <s v="Team A"/>
    <n v="144"/>
    <x v="3"/>
    <x v="11"/>
    <s v="Feb"/>
    <s v="Feb"/>
  </r>
  <r>
    <n v="219"/>
    <d v="2024-02-26T00:00:00"/>
    <s v=""/>
    <x v="0"/>
    <x v="0"/>
    <x v="0"/>
    <s v="Team B"/>
    <s v=""/>
    <x v="8"/>
    <x v="0"/>
    <s v="Feb"/>
    <s v=""/>
  </r>
  <r>
    <n v="220"/>
    <d v="2024-02-25T00:00:00"/>
    <s v=""/>
    <x v="0"/>
    <x v="0"/>
    <x v="0"/>
    <s v="Team B"/>
    <s v=""/>
    <x v="6"/>
    <x v="0"/>
    <s v="Feb"/>
    <s v=""/>
  </r>
  <r>
    <n v="221"/>
    <d v="2024-03-12T00:00:00"/>
    <s v=""/>
    <x v="0"/>
    <x v="0"/>
    <x v="0"/>
    <s v="Team A"/>
    <s v=""/>
    <x v="11"/>
    <x v="0"/>
    <s v="Mar"/>
    <s v=""/>
  </r>
  <r>
    <n v="222"/>
    <d v="2024-03-20T00:00:00"/>
    <s v=""/>
    <x v="0"/>
    <x v="0"/>
    <x v="1"/>
    <s v="Team B"/>
    <s v=""/>
    <x v="5"/>
    <x v="0"/>
    <s v="Mar"/>
    <s v=""/>
  </r>
  <r>
    <n v="223"/>
    <d v="2024-02-29T00:00:00"/>
    <s v=""/>
    <x v="0"/>
    <x v="1"/>
    <x v="0"/>
    <s v="Team B"/>
    <s v=""/>
    <x v="8"/>
    <x v="0"/>
    <s v="Feb"/>
    <s v=""/>
  </r>
  <r>
    <n v="224"/>
    <d v="2024-03-19T00:00:00"/>
    <s v=""/>
    <x v="0"/>
    <x v="0"/>
    <x v="0"/>
    <s v="Team A"/>
    <s v=""/>
    <x v="5"/>
    <x v="0"/>
    <s v="Mar"/>
    <s v=""/>
  </r>
  <r>
    <n v="225"/>
    <d v="2024-01-12T00:00:00"/>
    <m/>
    <x v="0"/>
    <x v="0"/>
    <x v="1"/>
    <s v="Team A"/>
    <m/>
    <x v="0"/>
    <x v="0"/>
    <s v="Jan"/>
    <s v=""/>
  </r>
  <r>
    <n v="226"/>
    <d v="2024-03-06T00:00:00"/>
    <s v=""/>
    <x v="0"/>
    <x v="0"/>
    <x v="2"/>
    <s v="Team B"/>
    <s v=""/>
    <x v="9"/>
    <x v="0"/>
    <s v="Mar"/>
    <s v=""/>
  </r>
  <r>
    <n v="227"/>
    <d v="2024-01-26T00:00:00"/>
    <s v=""/>
    <x v="0"/>
    <x v="0"/>
    <x v="0"/>
    <s v="Team A"/>
    <s v=""/>
    <x v="12"/>
    <x v="0"/>
    <s v="Jan"/>
    <s v=""/>
  </r>
  <r>
    <n v="228"/>
    <d v="2024-03-17T00:00:00"/>
    <d v="2024-03-22T00:00:00"/>
    <x v="1"/>
    <x v="1"/>
    <x v="0"/>
    <s v="Team A"/>
    <n v="120"/>
    <x v="11"/>
    <x v="9"/>
    <s v="Mar"/>
    <s v="Mar"/>
  </r>
  <r>
    <n v="229"/>
    <d v="2024-02-23T00:00:00"/>
    <s v=""/>
    <x v="0"/>
    <x v="0"/>
    <x v="2"/>
    <s v="Team B"/>
    <s v=""/>
    <x v="6"/>
    <x v="0"/>
    <s v="Feb"/>
    <s v=""/>
  </r>
  <r>
    <n v="230"/>
    <d v="2024-02-12T00:00:00"/>
    <s v=""/>
    <x v="0"/>
    <x v="1"/>
    <x v="0"/>
    <s v="Team A"/>
    <s v=""/>
    <x v="3"/>
    <x v="0"/>
    <s v="Feb"/>
    <s v=""/>
  </r>
  <r>
    <n v="231"/>
    <d v="2024-03-27T00:00:00"/>
    <d v="2024-03-30T00:00:00"/>
    <x v="1"/>
    <x v="0"/>
    <x v="0"/>
    <s v="Team B"/>
    <n v="72"/>
    <x v="10"/>
    <x v="10"/>
    <s v="Mar"/>
    <s v="Mar"/>
  </r>
  <r>
    <n v="232"/>
    <d v="2024-01-04T00:00:00"/>
    <d v="2024-01-08T00:00:00"/>
    <x v="1"/>
    <x v="0"/>
    <x v="0"/>
    <s v="Team B"/>
    <n v="96"/>
    <x v="4"/>
    <x v="1"/>
    <s v="Jan"/>
    <s v="Jan"/>
  </r>
  <r>
    <n v="233"/>
    <d v="2024-02-03T00:00:00"/>
    <s v=""/>
    <x v="0"/>
    <x v="1"/>
    <x v="0"/>
    <s v="Team A"/>
    <s v=""/>
    <x v="7"/>
    <x v="0"/>
    <s v="Feb"/>
    <s v=""/>
  </r>
  <r>
    <n v="234"/>
    <d v="2024-03-07T00:00:00"/>
    <d v="2024-03-17T00:00:00"/>
    <x v="1"/>
    <x v="0"/>
    <x v="0"/>
    <s v="Team B"/>
    <n v="240"/>
    <x v="9"/>
    <x v="12"/>
    <s v="Mar"/>
    <s v="Mar"/>
  </r>
  <r>
    <n v="235"/>
    <d v="2024-01-12T00:00:00"/>
    <d v="2024-01-17T00:00:00"/>
    <x v="1"/>
    <x v="1"/>
    <x v="0"/>
    <s v="Team B"/>
    <n v="120"/>
    <x v="0"/>
    <x v="4"/>
    <s v="Jan"/>
    <s v="Jan"/>
  </r>
  <r>
    <n v="236"/>
    <d v="2024-02-22T00:00:00"/>
    <s v=""/>
    <x v="0"/>
    <x v="0"/>
    <x v="0"/>
    <s v="Team B"/>
    <s v=""/>
    <x v="6"/>
    <x v="0"/>
    <s v="Feb"/>
    <s v=""/>
  </r>
  <r>
    <n v="237"/>
    <d v="2024-02-01T00:00:00"/>
    <s v=""/>
    <x v="0"/>
    <x v="1"/>
    <x v="1"/>
    <s v="Team A"/>
    <s v=""/>
    <x v="7"/>
    <x v="0"/>
    <s v="Feb"/>
    <s v=""/>
  </r>
  <r>
    <n v="238"/>
    <d v="2024-01-17T00:00:00"/>
    <s v=""/>
    <x v="0"/>
    <x v="0"/>
    <x v="0"/>
    <s v="Team B"/>
    <s v=""/>
    <x v="2"/>
    <x v="0"/>
    <s v="Jan"/>
    <s v=""/>
  </r>
  <r>
    <n v="239"/>
    <d v="2024-03-17T00:00:00"/>
    <s v=""/>
    <x v="0"/>
    <x v="1"/>
    <x v="1"/>
    <s v="Team B"/>
    <s v=""/>
    <x v="11"/>
    <x v="0"/>
    <s v="Mar"/>
    <s v=""/>
  </r>
  <r>
    <n v="240"/>
    <d v="2024-02-05T00:00:00"/>
    <s v=""/>
    <x v="0"/>
    <x v="0"/>
    <x v="0"/>
    <s v="Team B"/>
    <s v=""/>
    <x v="1"/>
    <x v="0"/>
    <s v="Feb"/>
    <s v=""/>
  </r>
  <r>
    <n v="241"/>
    <d v="2024-02-04T00:00:00"/>
    <s v=""/>
    <x v="0"/>
    <x v="0"/>
    <x v="0"/>
    <s v="Team B"/>
    <s v=""/>
    <x v="7"/>
    <x v="0"/>
    <s v="Feb"/>
    <s v=""/>
  </r>
  <r>
    <n v="242"/>
    <d v="2024-02-07T00:00:00"/>
    <s v=""/>
    <x v="0"/>
    <x v="1"/>
    <x v="1"/>
    <s v="Team A"/>
    <s v=""/>
    <x v="1"/>
    <x v="0"/>
    <s v="Feb"/>
    <s v=""/>
  </r>
  <r>
    <n v="243"/>
    <d v="2024-03-09T00:00:00"/>
    <s v=""/>
    <x v="0"/>
    <x v="1"/>
    <x v="1"/>
    <s v="Team A"/>
    <s v=""/>
    <x v="9"/>
    <x v="0"/>
    <s v="Mar"/>
    <s v=""/>
  </r>
  <r>
    <n v="244"/>
    <d v="2024-01-30T00:00:00"/>
    <s v=""/>
    <x v="0"/>
    <x v="0"/>
    <x v="1"/>
    <s v="Team A"/>
    <s v=""/>
    <x v="7"/>
    <x v="0"/>
    <s v="Jan"/>
    <s v=""/>
  </r>
  <r>
    <n v="245"/>
    <d v="2024-03-12T00:00:00"/>
    <d v="2024-03-18T00:00:00"/>
    <x v="1"/>
    <x v="0"/>
    <x v="2"/>
    <s v="Team A"/>
    <n v="144"/>
    <x v="11"/>
    <x v="9"/>
    <s v="Mar"/>
    <s v="Mar"/>
  </r>
  <r>
    <n v="246"/>
    <d v="2024-02-13T00:00:00"/>
    <s v=""/>
    <x v="0"/>
    <x v="1"/>
    <x v="0"/>
    <s v="Team B"/>
    <s v=""/>
    <x v="3"/>
    <x v="0"/>
    <s v="Feb"/>
    <s v=""/>
  </r>
  <r>
    <n v="247"/>
    <d v="2024-02-15T00:00:00"/>
    <s v=""/>
    <x v="0"/>
    <x v="0"/>
    <x v="0"/>
    <s v="Team A"/>
    <s v=""/>
    <x v="3"/>
    <x v="0"/>
    <s v="Feb"/>
    <s v=""/>
  </r>
  <r>
    <n v="248"/>
    <d v="2024-01-03T00:00:00"/>
    <d v="2024-01-05T00:00:00"/>
    <x v="1"/>
    <x v="1"/>
    <x v="2"/>
    <s v="Team A"/>
    <n v="48"/>
    <x v="4"/>
    <x v="2"/>
    <s v="Jan"/>
    <s v="Jan"/>
  </r>
  <r>
    <n v="249"/>
    <d v="2024-01-05T00:00:00"/>
    <s v=""/>
    <x v="0"/>
    <x v="0"/>
    <x v="1"/>
    <s v="Team B"/>
    <s v=""/>
    <x v="4"/>
    <x v="0"/>
    <s v="Jan"/>
    <s v=""/>
  </r>
  <r>
    <n v="250"/>
    <d v="2024-03-27T00:00:00"/>
    <s v=""/>
    <x v="0"/>
    <x v="1"/>
    <x v="0"/>
    <s v="Team A"/>
    <s v=""/>
    <x v="10"/>
    <x v="0"/>
    <s v="Mar"/>
    <s v=""/>
  </r>
  <r>
    <n v="251"/>
    <d v="2024-01-19T00:00:00"/>
    <d v="2024-01-28T00:00:00"/>
    <x v="1"/>
    <x v="0"/>
    <x v="2"/>
    <s v="Team A"/>
    <n v="216"/>
    <x v="2"/>
    <x v="14"/>
    <s v="Jan"/>
    <s v="Jan"/>
  </r>
  <r>
    <n v="252"/>
    <d v="2024-01-09T00:00:00"/>
    <s v=""/>
    <x v="0"/>
    <x v="1"/>
    <x v="0"/>
    <s v="Team A"/>
    <s v=""/>
    <x v="0"/>
    <x v="0"/>
    <s v="Jan"/>
    <s v=""/>
  </r>
  <r>
    <n v="253"/>
    <d v="2024-03-05T00:00:00"/>
    <d v="2024-03-10T00:00:00"/>
    <x v="1"/>
    <x v="1"/>
    <x v="0"/>
    <s v="Team B"/>
    <n v="120"/>
    <x v="9"/>
    <x v="8"/>
    <s v="Mar"/>
    <s v="Mar"/>
  </r>
  <r>
    <n v="254"/>
    <d v="2024-01-14T00:00:00"/>
    <s v=""/>
    <x v="0"/>
    <x v="0"/>
    <x v="0"/>
    <s v="Team B"/>
    <s v=""/>
    <x v="0"/>
    <x v="0"/>
    <s v="Jan"/>
    <s v=""/>
  </r>
  <r>
    <n v="255"/>
    <d v="2024-01-26T00:00:00"/>
    <s v=""/>
    <x v="0"/>
    <x v="0"/>
    <x v="0"/>
    <s v="Team B"/>
    <s v=""/>
    <x v="12"/>
    <x v="0"/>
    <s v="Jan"/>
    <s v=""/>
  </r>
  <r>
    <n v="256"/>
    <d v="2024-03-12T00:00:00"/>
    <s v=""/>
    <x v="0"/>
    <x v="1"/>
    <x v="0"/>
    <s v="Team A"/>
    <s v=""/>
    <x v="11"/>
    <x v="0"/>
    <s v="Mar"/>
    <s v=""/>
  </r>
  <r>
    <n v="257"/>
    <d v="2024-03-12T00:00:00"/>
    <s v=""/>
    <x v="0"/>
    <x v="1"/>
    <x v="2"/>
    <s v="Team A"/>
    <s v=""/>
    <x v="11"/>
    <x v="0"/>
    <s v="Mar"/>
    <s v=""/>
  </r>
  <r>
    <n v="258"/>
    <d v="2024-02-10T00:00:00"/>
    <s v=""/>
    <x v="0"/>
    <x v="0"/>
    <x v="0"/>
    <s v="Team A"/>
    <s v=""/>
    <x v="1"/>
    <x v="0"/>
    <s v="Feb"/>
    <s v=""/>
  </r>
  <r>
    <n v="259"/>
    <d v="2024-01-30T00:00:00"/>
    <d v="2024-02-07T00:00:00"/>
    <x v="1"/>
    <x v="0"/>
    <x v="0"/>
    <s v="Team B"/>
    <n v="192"/>
    <x v="7"/>
    <x v="3"/>
    <s v="Jan"/>
    <s v="Feb"/>
  </r>
  <r>
    <n v="260"/>
    <d v="2024-02-08T00:00:00"/>
    <s v=""/>
    <x v="0"/>
    <x v="0"/>
    <x v="0"/>
    <s v="Team A"/>
    <s v=""/>
    <x v="1"/>
    <x v="0"/>
    <s v="Feb"/>
    <s v=""/>
  </r>
  <r>
    <n v="261"/>
    <d v="2024-01-16T00:00:00"/>
    <s v=""/>
    <x v="0"/>
    <x v="1"/>
    <x v="0"/>
    <s v="Team B"/>
    <s v=""/>
    <x v="2"/>
    <x v="0"/>
    <s v="Jan"/>
    <s v=""/>
  </r>
  <r>
    <n v="262"/>
    <d v="2024-03-13T00:00:00"/>
    <s v=""/>
    <x v="0"/>
    <x v="1"/>
    <x v="0"/>
    <s v="Team A"/>
    <s v=""/>
    <x v="11"/>
    <x v="0"/>
    <s v="Mar"/>
    <s v=""/>
  </r>
  <r>
    <n v="263"/>
    <d v="2024-01-18T00:00:00"/>
    <s v=""/>
    <x v="0"/>
    <x v="1"/>
    <x v="0"/>
    <s v="Team A"/>
    <s v=""/>
    <x v="2"/>
    <x v="0"/>
    <s v="Jan"/>
    <s v=""/>
  </r>
  <r>
    <n v="264"/>
    <d v="2024-02-01T00:00:00"/>
    <s v=""/>
    <x v="0"/>
    <x v="0"/>
    <x v="0"/>
    <s v="Team A"/>
    <s v=""/>
    <x v="7"/>
    <x v="0"/>
    <s v="Feb"/>
    <s v=""/>
  </r>
  <r>
    <n v="265"/>
    <d v="2024-03-17T00:00:00"/>
    <s v=""/>
    <x v="0"/>
    <x v="0"/>
    <x v="0"/>
    <s v="Team B"/>
    <s v=""/>
    <x v="11"/>
    <x v="0"/>
    <s v="Mar"/>
    <s v=""/>
  </r>
  <r>
    <n v="266"/>
    <d v="2024-02-12T00:00:00"/>
    <d v="2024-02-16T00:00:00"/>
    <x v="1"/>
    <x v="1"/>
    <x v="1"/>
    <s v="Team A"/>
    <n v="96"/>
    <x v="3"/>
    <x v="7"/>
    <s v="Feb"/>
    <s v="Feb"/>
  </r>
  <r>
    <n v="267"/>
    <d v="2024-03-14T00:00:00"/>
    <s v=""/>
    <x v="0"/>
    <x v="1"/>
    <x v="0"/>
    <s v="Team B"/>
    <s v=""/>
    <x v="11"/>
    <x v="0"/>
    <s v="Mar"/>
    <s v=""/>
  </r>
  <r>
    <n v="268"/>
    <d v="2024-01-20T00:00:00"/>
    <s v=""/>
    <x v="0"/>
    <x v="0"/>
    <x v="1"/>
    <s v="Team B"/>
    <s v=""/>
    <x v="2"/>
    <x v="0"/>
    <s v="Jan"/>
    <s v=""/>
  </r>
  <r>
    <n v="269"/>
    <d v="2024-03-27T00:00:00"/>
    <s v=""/>
    <x v="0"/>
    <x v="1"/>
    <x v="0"/>
    <s v="Team A"/>
    <s v=""/>
    <x v="10"/>
    <x v="0"/>
    <s v="Mar"/>
    <s v=""/>
  </r>
  <r>
    <n v="270"/>
    <d v="2024-03-09T00:00:00"/>
    <d v="2024-03-10T00:00:00"/>
    <x v="1"/>
    <x v="1"/>
    <x v="2"/>
    <s v="Team A"/>
    <n v="24"/>
    <x v="9"/>
    <x v="8"/>
    <s v="Mar"/>
    <s v="Mar"/>
  </r>
  <r>
    <n v="271"/>
    <d v="2024-01-19T00:00:00"/>
    <s v=""/>
    <x v="0"/>
    <x v="1"/>
    <x v="0"/>
    <s v="Team A"/>
    <s v=""/>
    <x v="2"/>
    <x v="0"/>
    <s v="Jan"/>
    <s v=""/>
  </r>
  <r>
    <n v="272"/>
    <d v="2024-03-04T00:00:00"/>
    <s v=""/>
    <x v="0"/>
    <x v="1"/>
    <x v="0"/>
    <s v="Team A"/>
    <s v=""/>
    <x v="9"/>
    <x v="0"/>
    <s v="Mar"/>
    <s v=""/>
  </r>
  <r>
    <n v="273"/>
    <d v="2024-02-17T00:00:00"/>
    <s v=""/>
    <x v="0"/>
    <x v="1"/>
    <x v="0"/>
    <s v="Team A"/>
    <s v=""/>
    <x v="3"/>
    <x v="0"/>
    <s v="Feb"/>
    <s v=""/>
  </r>
  <r>
    <n v="274"/>
    <d v="2024-02-13T00:00:00"/>
    <s v=""/>
    <x v="0"/>
    <x v="1"/>
    <x v="0"/>
    <s v="Team B"/>
    <s v=""/>
    <x v="3"/>
    <x v="0"/>
    <s v="Feb"/>
    <s v=""/>
  </r>
  <r>
    <n v="275"/>
    <d v="2024-03-06T00:00:00"/>
    <s v=""/>
    <x v="0"/>
    <x v="0"/>
    <x v="0"/>
    <s v="Team A"/>
    <s v=""/>
    <x v="9"/>
    <x v="0"/>
    <s v="Mar"/>
    <s v=""/>
  </r>
  <r>
    <n v="276"/>
    <d v="2024-01-30T00:00:00"/>
    <s v=""/>
    <x v="0"/>
    <x v="0"/>
    <x v="0"/>
    <s v="Team A"/>
    <s v=""/>
    <x v="7"/>
    <x v="0"/>
    <s v="Jan"/>
    <s v=""/>
  </r>
  <r>
    <n v="277"/>
    <d v="2024-03-23T00:00:00"/>
    <s v=""/>
    <x v="0"/>
    <x v="0"/>
    <x v="0"/>
    <s v="Team B"/>
    <s v=""/>
    <x v="5"/>
    <x v="0"/>
    <s v="Mar"/>
    <s v=""/>
  </r>
  <r>
    <n v="278"/>
    <d v="2024-03-14T00:00:00"/>
    <s v=""/>
    <x v="0"/>
    <x v="0"/>
    <x v="2"/>
    <s v="Team A"/>
    <s v=""/>
    <x v="11"/>
    <x v="0"/>
    <s v="Mar"/>
    <s v=""/>
  </r>
  <r>
    <n v="279"/>
    <d v="2024-03-28T00:00:00"/>
    <s v=""/>
    <x v="0"/>
    <x v="0"/>
    <x v="0"/>
    <s v="Team B"/>
    <s v=""/>
    <x v="10"/>
    <x v="0"/>
    <s v="Mar"/>
    <s v=""/>
  </r>
  <r>
    <n v="280"/>
    <d v="2024-03-08T00:00:00"/>
    <s v=""/>
    <x v="0"/>
    <x v="1"/>
    <x v="0"/>
    <s v="Team B"/>
    <s v=""/>
    <x v="9"/>
    <x v="0"/>
    <s v="Mar"/>
    <s v=""/>
  </r>
  <r>
    <n v="281"/>
    <d v="2024-02-25T00:00:00"/>
    <d v="2024-03-05T00:00:00"/>
    <x v="1"/>
    <x v="1"/>
    <x v="2"/>
    <s v="Team A"/>
    <n v="216"/>
    <x v="6"/>
    <x v="8"/>
    <s v="Feb"/>
    <s v="Mar"/>
  </r>
  <r>
    <n v="282"/>
    <d v="2024-03-21T00:00:00"/>
    <s v=""/>
    <x v="0"/>
    <x v="1"/>
    <x v="0"/>
    <s v="Team A"/>
    <s v=""/>
    <x v="5"/>
    <x v="0"/>
    <s v="Mar"/>
    <s v=""/>
  </r>
  <r>
    <n v="283"/>
    <d v="2024-02-13T00:00:00"/>
    <s v=""/>
    <x v="0"/>
    <x v="0"/>
    <x v="0"/>
    <s v="Team A"/>
    <s v=""/>
    <x v="3"/>
    <x v="0"/>
    <s v="Feb"/>
    <s v=""/>
  </r>
  <r>
    <n v="284"/>
    <d v="2024-02-03T00:00:00"/>
    <s v=""/>
    <x v="0"/>
    <x v="0"/>
    <x v="0"/>
    <s v="Team A"/>
    <s v=""/>
    <x v="7"/>
    <x v="0"/>
    <s v="Feb"/>
    <s v=""/>
  </r>
  <r>
    <n v="285"/>
    <d v="2024-01-01T00:00:00"/>
    <s v=""/>
    <x v="0"/>
    <x v="0"/>
    <x v="1"/>
    <s v="Team B"/>
    <s v=""/>
    <x v="4"/>
    <x v="0"/>
    <s v="Jan"/>
    <s v=""/>
  </r>
  <r>
    <n v="286"/>
    <d v="2024-02-20T00:00:00"/>
    <d v="2024-02-21T00:00:00"/>
    <x v="1"/>
    <x v="0"/>
    <x v="2"/>
    <s v="Team B"/>
    <n v="24"/>
    <x v="6"/>
    <x v="11"/>
    <s v="Feb"/>
    <s v="Feb"/>
  </r>
  <r>
    <n v="287"/>
    <d v="2024-02-08T00:00:00"/>
    <s v=""/>
    <x v="0"/>
    <x v="1"/>
    <x v="0"/>
    <s v="Team B"/>
    <s v=""/>
    <x v="1"/>
    <x v="0"/>
    <s v="Feb"/>
    <s v=""/>
  </r>
  <r>
    <n v="288"/>
    <d v="2024-03-20T00:00:00"/>
    <s v=""/>
    <x v="0"/>
    <x v="1"/>
    <x v="1"/>
    <s v="Team A"/>
    <s v=""/>
    <x v="5"/>
    <x v="0"/>
    <s v="Mar"/>
    <s v=""/>
  </r>
  <r>
    <n v="289"/>
    <d v="2024-01-29T00:00:00"/>
    <s v=""/>
    <x v="0"/>
    <x v="0"/>
    <x v="0"/>
    <s v="Team B"/>
    <s v=""/>
    <x v="7"/>
    <x v="0"/>
    <s v="Jan"/>
    <s v=""/>
  </r>
  <r>
    <n v="290"/>
    <d v="2024-01-21T00:00:00"/>
    <d v="2024-01-30T00:00:00"/>
    <x v="1"/>
    <x v="0"/>
    <x v="0"/>
    <s v="Team A"/>
    <n v="216"/>
    <x v="2"/>
    <x v="6"/>
    <s v="Jan"/>
    <s v="Jan"/>
  </r>
  <r>
    <n v="291"/>
    <d v="2024-03-08T00:00:00"/>
    <s v=""/>
    <x v="0"/>
    <x v="0"/>
    <x v="2"/>
    <s v="Team B"/>
    <s v=""/>
    <x v="9"/>
    <x v="0"/>
    <s v="Mar"/>
    <s v=""/>
  </r>
  <r>
    <n v="292"/>
    <d v="2024-01-17T00:00:00"/>
    <s v=""/>
    <x v="0"/>
    <x v="0"/>
    <x v="1"/>
    <s v="Team B"/>
    <s v=""/>
    <x v="2"/>
    <x v="0"/>
    <s v="Jan"/>
    <s v=""/>
  </r>
  <r>
    <n v="293"/>
    <d v="2024-01-19T00:00:00"/>
    <d v="2024-01-23T00:00:00"/>
    <x v="1"/>
    <x v="0"/>
    <x v="2"/>
    <s v="Team A"/>
    <n v="96"/>
    <x v="2"/>
    <x v="14"/>
    <s v="Jan"/>
    <s v="Jan"/>
  </r>
  <r>
    <n v="294"/>
    <d v="2024-01-03T00:00:00"/>
    <m/>
    <x v="0"/>
    <x v="0"/>
    <x v="0"/>
    <s v="Team A"/>
    <m/>
    <x v="4"/>
    <x v="0"/>
    <s v="Jan"/>
    <s v=""/>
  </r>
  <r>
    <n v="295"/>
    <d v="2024-02-22T00:00:00"/>
    <s v=""/>
    <x v="0"/>
    <x v="0"/>
    <x v="2"/>
    <s v="Team B"/>
    <s v=""/>
    <x v="6"/>
    <x v="0"/>
    <s v="Feb"/>
    <s v=""/>
  </r>
  <r>
    <n v="296"/>
    <d v="2024-03-26T00:00:00"/>
    <d v="2024-04-02T00:00:00"/>
    <x v="1"/>
    <x v="1"/>
    <x v="0"/>
    <s v="Team B"/>
    <n v="168"/>
    <x v="10"/>
    <x v="5"/>
    <s v="Mar"/>
    <s v="Apr"/>
  </r>
  <r>
    <n v="297"/>
    <d v="2024-03-02T00:00:00"/>
    <s v=""/>
    <x v="0"/>
    <x v="0"/>
    <x v="0"/>
    <s v="Team A"/>
    <s v=""/>
    <x v="8"/>
    <x v="0"/>
    <s v="Mar"/>
    <s v=""/>
  </r>
  <r>
    <n v="298"/>
    <d v="2024-03-19T00:00:00"/>
    <s v=""/>
    <x v="0"/>
    <x v="1"/>
    <x v="1"/>
    <s v="Team B"/>
    <s v=""/>
    <x v="5"/>
    <x v="0"/>
    <s v="Mar"/>
    <s v=""/>
  </r>
  <r>
    <n v="299"/>
    <d v="2024-02-25T00:00:00"/>
    <d v="2024-03-04T00:00:00"/>
    <x v="1"/>
    <x v="0"/>
    <x v="2"/>
    <s v="Team B"/>
    <n v="192"/>
    <x v="6"/>
    <x v="8"/>
    <s v="Feb"/>
    <s v="Mar"/>
  </r>
  <r>
    <n v="300"/>
    <d v="2024-03-31T00:00:00"/>
    <m/>
    <x v="0"/>
    <x v="0"/>
    <x v="1"/>
    <s v="Team A"/>
    <m/>
    <x v="10"/>
    <x v="0"/>
    <s v="Mar"/>
    <s v=""/>
  </r>
  <r>
    <n v="301"/>
    <d v="2024-02-16T00:00:00"/>
    <s v=""/>
    <x v="0"/>
    <x v="0"/>
    <x v="2"/>
    <s v="Team B"/>
    <s v=""/>
    <x v="3"/>
    <x v="0"/>
    <s v="Feb"/>
    <s v=""/>
  </r>
  <r>
    <n v="302"/>
    <d v="2024-03-21T00:00:00"/>
    <s v=""/>
    <x v="0"/>
    <x v="1"/>
    <x v="0"/>
    <s v="Team B"/>
    <s v=""/>
    <x v="5"/>
    <x v="0"/>
    <s v="Mar"/>
    <s v=""/>
  </r>
  <r>
    <n v="303"/>
    <d v="2024-01-09T00:00:00"/>
    <s v=""/>
    <x v="0"/>
    <x v="0"/>
    <x v="0"/>
    <s v="Team B"/>
    <s v=""/>
    <x v="0"/>
    <x v="0"/>
    <s v="Jan"/>
    <s v=""/>
  </r>
  <r>
    <n v="304"/>
    <d v="2024-03-07T00:00:00"/>
    <s v=""/>
    <x v="0"/>
    <x v="1"/>
    <x v="0"/>
    <s v="Team B"/>
    <s v=""/>
    <x v="9"/>
    <x v="0"/>
    <s v="Mar"/>
    <s v=""/>
  </r>
  <r>
    <n v="305"/>
    <d v="2024-01-26T00:00:00"/>
    <s v=""/>
    <x v="0"/>
    <x v="0"/>
    <x v="0"/>
    <s v="Team B"/>
    <s v=""/>
    <x v="12"/>
    <x v="0"/>
    <s v="Jan"/>
    <s v=""/>
  </r>
  <r>
    <n v="306"/>
    <d v="2024-01-06T00:00:00"/>
    <s v=""/>
    <x v="0"/>
    <x v="1"/>
    <x v="2"/>
    <s v="Team B"/>
    <s v=""/>
    <x v="4"/>
    <x v="0"/>
    <s v="Jan"/>
    <s v=""/>
  </r>
  <r>
    <n v="307"/>
    <d v="2024-03-30T00:00:00"/>
    <s v=""/>
    <x v="0"/>
    <x v="0"/>
    <x v="0"/>
    <s v="Team B"/>
    <s v=""/>
    <x v="10"/>
    <x v="0"/>
    <s v="Mar"/>
    <s v=""/>
  </r>
  <r>
    <n v="308"/>
    <d v="2024-01-11T00:00:00"/>
    <s v=""/>
    <x v="0"/>
    <x v="0"/>
    <x v="0"/>
    <s v="Team A"/>
    <s v=""/>
    <x v="0"/>
    <x v="0"/>
    <s v="Jan"/>
    <s v=""/>
  </r>
  <r>
    <n v="309"/>
    <d v="2024-03-31T00:00:00"/>
    <s v=""/>
    <x v="0"/>
    <x v="1"/>
    <x v="1"/>
    <s v="Team A"/>
    <s v=""/>
    <x v="10"/>
    <x v="0"/>
    <s v="Mar"/>
    <s v=""/>
  </r>
  <r>
    <n v="310"/>
    <d v="2024-02-23T00:00:00"/>
    <s v=""/>
    <x v="0"/>
    <x v="1"/>
    <x v="0"/>
    <s v="Team B"/>
    <s v=""/>
    <x v="6"/>
    <x v="0"/>
    <s v="Feb"/>
    <s v=""/>
  </r>
  <r>
    <n v="311"/>
    <d v="2024-03-01T00:00:00"/>
    <s v=""/>
    <x v="0"/>
    <x v="1"/>
    <x v="0"/>
    <s v="Team A"/>
    <s v=""/>
    <x v="8"/>
    <x v="0"/>
    <s v="Mar"/>
    <s v=""/>
  </r>
  <r>
    <n v="312"/>
    <d v="2024-01-03T00:00:00"/>
    <d v="2024-01-12T00:00:00"/>
    <x v="1"/>
    <x v="1"/>
    <x v="0"/>
    <s v="Team A"/>
    <n v="216"/>
    <x v="4"/>
    <x v="1"/>
    <s v="Jan"/>
    <s v="Jan"/>
  </r>
  <r>
    <n v="313"/>
    <d v="2024-02-21T00:00:00"/>
    <d v="2024-02-24T00:00:00"/>
    <x v="1"/>
    <x v="1"/>
    <x v="1"/>
    <s v="Team B"/>
    <n v="72"/>
    <x v="6"/>
    <x v="11"/>
    <s v="Feb"/>
    <s v="Feb"/>
  </r>
  <r>
    <n v="314"/>
    <d v="2024-02-01T00:00:00"/>
    <d v="2024-02-07T00:00:00"/>
    <x v="1"/>
    <x v="0"/>
    <x v="0"/>
    <s v="Team B"/>
    <n v="144"/>
    <x v="7"/>
    <x v="3"/>
    <s v="Feb"/>
    <s v="Feb"/>
  </r>
  <r>
    <n v="315"/>
    <d v="2024-01-16T00:00:00"/>
    <s v=""/>
    <x v="0"/>
    <x v="1"/>
    <x v="0"/>
    <s v="Team A"/>
    <s v=""/>
    <x v="2"/>
    <x v="0"/>
    <s v="Jan"/>
    <s v=""/>
  </r>
  <r>
    <n v="316"/>
    <d v="2024-03-04T00:00:00"/>
    <s v=""/>
    <x v="0"/>
    <x v="1"/>
    <x v="0"/>
    <s v="Team B"/>
    <s v=""/>
    <x v="9"/>
    <x v="0"/>
    <s v="Mar"/>
    <s v=""/>
  </r>
  <r>
    <n v="317"/>
    <d v="2024-01-23T00:00:00"/>
    <d v="2024-02-02T00:00:00"/>
    <x v="1"/>
    <x v="1"/>
    <x v="0"/>
    <s v="Team B"/>
    <n v="240"/>
    <x v="12"/>
    <x v="6"/>
    <s v="Jan"/>
    <s v="Feb"/>
  </r>
  <r>
    <n v="318"/>
    <d v="2024-01-09T00:00:00"/>
    <s v=""/>
    <x v="0"/>
    <x v="1"/>
    <x v="0"/>
    <s v="Team B"/>
    <s v=""/>
    <x v="0"/>
    <x v="0"/>
    <s v="Jan"/>
    <s v=""/>
  </r>
  <r>
    <n v="319"/>
    <d v="2024-02-13T00:00:00"/>
    <s v=""/>
    <x v="0"/>
    <x v="0"/>
    <x v="1"/>
    <s v="Team A"/>
    <s v=""/>
    <x v="3"/>
    <x v="0"/>
    <s v="Feb"/>
    <s v=""/>
  </r>
  <r>
    <n v="320"/>
    <d v="2024-03-29T00:00:00"/>
    <m/>
    <x v="0"/>
    <x v="0"/>
    <x v="0"/>
    <s v="Team A"/>
    <m/>
    <x v="10"/>
    <x v="0"/>
    <s v="Mar"/>
    <s v=""/>
  </r>
  <r>
    <n v="321"/>
    <d v="2024-01-17T00:00:00"/>
    <s v=""/>
    <x v="0"/>
    <x v="0"/>
    <x v="0"/>
    <s v="Team B"/>
    <s v=""/>
    <x v="2"/>
    <x v="0"/>
    <s v="Jan"/>
    <s v=""/>
  </r>
  <r>
    <n v="322"/>
    <d v="2024-02-22T00:00:00"/>
    <s v=""/>
    <x v="0"/>
    <x v="1"/>
    <x v="0"/>
    <s v="Team B"/>
    <s v=""/>
    <x v="6"/>
    <x v="0"/>
    <s v="Feb"/>
    <s v=""/>
  </r>
  <r>
    <n v="323"/>
    <d v="2024-01-04T00:00:00"/>
    <d v="2024-01-12T00:00:00"/>
    <x v="1"/>
    <x v="1"/>
    <x v="2"/>
    <s v="Team B"/>
    <n v="192"/>
    <x v="4"/>
    <x v="1"/>
    <s v="Jan"/>
    <s v="Jan"/>
  </r>
  <r>
    <n v="324"/>
    <d v="2024-01-02T00:00:00"/>
    <s v=""/>
    <x v="0"/>
    <x v="0"/>
    <x v="0"/>
    <s v="Team A"/>
    <s v=""/>
    <x v="4"/>
    <x v="0"/>
    <s v="Jan"/>
    <s v=""/>
  </r>
  <r>
    <n v="325"/>
    <d v="2024-03-18T00:00:00"/>
    <s v=""/>
    <x v="0"/>
    <x v="0"/>
    <x v="2"/>
    <s v="Team B"/>
    <s v=""/>
    <x v="5"/>
    <x v="0"/>
    <s v="Mar"/>
    <s v=""/>
  </r>
  <r>
    <n v="326"/>
    <d v="2024-01-07T00:00:00"/>
    <d v="2024-01-13T00:00:00"/>
    <x v="1"/>
    <x v="0"/>
    <x v="1"/>
    <s v="Team B"/>
    <n v="144"/>
    <x v="4"/>
    <x v="1"/>
    <s v="Jan"/>
    <s v="Jan"/>
  </r>
  <r>
    <n v="327"/>
    <d v="2024-03-21T00:00:00"/>
    <d v="2024-03-29T00:00:00"/>
    <x v="1"/>
    <x v="1"/>
    <x v="2"/>
    <s v="Team B"/>
    <n v="192"/>
    <x v="5"/>
    <x v="10"/>
    <s v="Mar"/>
    <s v="Mar"/>
  </r>
  <r>
    <n v="328"/>
    <d v="2024-03-28T00:00:00"/>
    <s v=""/>
    <x v="0"/>
    <x v="0"/>
    <x v="0"/>
    <s v="Team B"/>
    <s v=""/>
    <x v="10"/>
    <x v="0"/>
    <s v="Mar"/>
    <s v=""/>
  </r>
  <r>
    <n v="329"/>
    <d v="2024-01-24T00:00:00"/>
    <s v=""/>
    <x v="0"/>
    <x v="0"/>
    <x v="0"/>
    <s v="Team B"/>
    <s v=""/>
    <x v="12"/>
    <x v="0"/>
    <s v="Jan"/>
    <s v=""/>
  </r>
  <r>
    <n v="330"/>
    <d v="2024-01-04T00:00:00"/>
    <s v=""/>
    <x v="0"/>
    <x v="1"/>
    <x v="1"/>
    <s v="Team A"/>
    <s v=""/>
    <x v="4"/>
    <x v="0"/>
    <s v="Jan"/>
    <s v=""/>
  </r>
  <r>
    <n v="331"/>
    <d v="2024-01-19T00:00:00"/>
    <s v=""/>
    <x v="0"/>
    <x v="1"/>
    <x v="0"/>
    <s v="Team A"/>
    <s v=""/>
    <x v="2"/>
    <x v="0"/>
    <s v="Jan"/>
    <s v=""/>
  </r>
  <r>
    <n v="332"/>
    <d v="2024-01-21T00:00:00"/>
    <s v=""/>
    <x v="0"/>
    <x v="0"/>
    <x v="1"/>
    <s v="Team B"/>
    <s v=""/>
    <x v="2"/>
    <x v="0"/>
    <s v="Jan"/>
    <s v=""/>
  </r>
  <r>
    <n v="333"/>
    <d v="2024-03-19T00:00:00"/>
    <s v=""/>
    <x v="0"/>
    <x v="0"/>
    <x v="0"/>
    <s v="Team B"/>
    <s v=""/>
    <x v="5"/>
    <x v="0"/>
    <s v="Mar"/>
    <s v=""/>
  </r>
  <r>
    <n v="334"/>
    <d v="2024-03-03T00:00:00"/>
    <s v=""/>
    <x v="0"/>
    <x v="0"/>
    <x v="0"/>
    <s v="Team B"/>
    <s v=""/>
    <x v="8"/>
    <x v="0"/>
    <s v="Mar"/>
    <s v=""/>
  </r>
  <r>
    <n v="335"/>
    <d v="2024-01-28T00:00:00"/>
    <s v=""/>
    <x v="0"/>
    <x v="1"/>
    <x v="0"/>
    <s v="Team A"/>
    <s v=""/>
    <x v="12"/>
    <x v="0"/>
    <s v="Jan"/>
    <s v=""/>
  </r>
  <r>
    <n v="336"/>
    <d v="2024-03-06T00:00:00"/>
    <d v="2024-03-08T00:00:00"/>
    <x v="1"/>
    <x v="1"/>
    <x v="2"/>
    <s v="Team A"/>
    <n v="48"/>
    <x v="9"/>
    <x v="8"/>
    <s v="Mar"/>
    <s v="Mar"/>
  </r>
  <r>
    <n v="337"/>
    <d v="2024-02-02T00:00:00"/>
    <s v=""/>
    <x v="0"/>
    <x v="1"/>
    <x v="0"/>
    <s v="Team B"/>
    <s v=""/>
    <x v="7"/>
    <x v="0"/>
    <s v="Feb"/>
    <s v=""/>
  </r>
  <r>
    <n v="338"/>
    <d v="2024-02-17T00:00:00"/>
    <s v=""/>
    <x v="0"/>
    <x v="1"/>
    <x v="1"/>
    <s v="Team A"/>
    <s v=""/>
    <x v="3"/>
    <x v="0"/>
    <s v="Feb"/>
    <s v=""/>
  </r>
  <r>
    <n v="339"/>
    <d v="2024-01-06T00:00:00"/>
    <s v=""/>
    <x v="0"/>
    <x v="0"/>
    <x v="2"/>
    <s v="Team A"/>
    <s v=""/>
    <x v="4"/>
    <x v="0"/>
    <s v="Jan"/>
    <s v=""/>
  </r>
  <r>
    <n v="340"/>
    <d v="2024-02-13T00:00:00"/>
    <s v=""/>
    <x v="0"/>
    <x v="1"/>
    <x v="0"/>
    <s v="Team A"/>
    <s v=""/>
    <x v="3"/>
    <x v="0"/>
    <s v="Feb"/>
    <s v=""/>
  </r>
  <r>
    <n v="341"/>
    <d v="2024-01-14T00:00:00"/>
    <s v=""/>
    <x v="0"/>
    <x v="0"/>
    <x v="0"/>
    <s v="Team B"/>
    <s v=""/>
    <x v="0"/>
    <x v="0"/>
    <s v="Jan"/>
    <s v=""/>
  </r>
  <r>
    <n v="342"/>
    <d v="2024-02-08T00:00:00"/>
    <d v="2024-02-14T00:00:00"/>
    <x v="1"/>
    <x v="1"/>
    <x v="1"/>
    <s v="Team B"/>
    <n v="144"/>
    <x v="1"/>
    <x v="7"/>
    <s v="Feb"/>
    <s v="Feb"/>
  </r>
  <r>
    <n v="343"/>
    <d v="2024-03-29T00:00:00"/>
    <d v="2024-04-04T00:00:00"/>
    <x v="1"/>
    <x v="1"/>
    <x v="2"/>
    <s v="Team B"/>
    <n v="144"/>
    <x v="10"/>
    <x v="5"/>
    <s v="Mar"/>
    <s v="Apr"/>
  </r>
  <r>
    <n v="344"/>
    <d v="2024-03-27T00:00:00"/>
    <d v="2024-03-30T00:00:00"/>
    <x v="1"/>
    <x v="1"/>
    <x v="0"/>
    <s v="Team B"/>
    <n v="72"/>
    <x v="10"/>
    <x v="10"/>
    <s v="Mar"/>
    <s v="Mar"/>
  </r>
  <r>
    <n v="345"/>
    <d v="2024-02-22T00:00:00"/>
    <s v=""/>
    <x v="0"/>
    <x v="1"/>
    <x v="0"/>
    <s v="Team B"/>
    <s v=""/>
    <x v="6"/>
    <x v="0"/>
    <s v="Feb"/>
    <s v=""/>
  </r>
  <r>
    <n v="346"/>
    <d v="2024-02-02T00:00:00"/>
    <s v=""/>
    <x v="0"/>
    <x v="0"/>
    <x v="0"/>
    <s v="Team B"/>
    <s v=""/>
    <x v="7"/>
    <x v="0"/>
    <s v="Feb"/>
    <s v=""/>
  </r>
  <r>
    <n v="347"/>
    <d v="2024-03-18T00:00:00"/>
    <s v=""/>
    <x v="0"/>
    <x v="1"/>
    <x v="0"/>
    <s v="Team A"/>
    <s v=""/>
    <x v="5"/>
    <x v="0"/>
    <s v="Mar"/>
    <s v=""/>
  </r>
  <r>
    <n v="348"/>
    <d v="2024-03-31T00:00:00"/>
    <s v=""/>
    <x v="0"/>
    <x v="0"/>
    <x v="2"/>
    <s v="Team B"/>
    <s v=""/>
    <x v="10"/>
    <x v="0"/>
    <s v="Mar"/>
    <s v=""/>
  </r>
  <r>
    <n v="349"/>
    <d v="2024-01-26T00:00:00"/>
    <s v=""/>
    <x v="0"/>
    <x v="0"/>
    <x v="0"/>
    <s v="Team B"/>
    <s v=""/>
    <x v="12"/>
    <x v="0"/>
    <s v="Jan"/>
    <s v=""/>
  </r>
  <r>
    <n v="350"/>
    <d v="2024-02-24T00:00:00"/>
    <s v=""/>
    <x v="0"/>
    <x v="0"/>
    <x v="0"/>
    <s v="Team A"/>
    <s v=""/>
    <x v="6"/>
    <x v="0"/>
    <s v="Feb"/>
    <s v=""/>
  </r>
  <r>
    <n v="351"/>
    <d v="2024-01-04T00:00:00"/>
    <s v=""/>
    <x v="0"/>
    <x v="1"/>
    <x v="1"/>
    <s v="Team A"/>
    <s v=""/>
    <x v="4"/>
    <x v="0"/>
    <s v="Jan"/>
    <s v=""/>
  </r>
  <r>
    <n v="352"/>
    <d v="2024-03-11T00:00:00"/>
    <s v=""/>
    <x v="0"/>
    <x v="1"/>
    <x v="1"/>
    <s v="Team A"/>
    <s v=""/>
    <x v="11"/>
    <x v="0"/>
    <s v="Mar"/>
    <s v=""/>
  </r>
  <r>
    <n v="353"/>
    <d v="2024-01-11T00:00:00"/>
    <d v="2024-01-13T00:00:00"/>
    <x v="1"/>
    <x v="1"/>
    <x v="1"/>
    <s v="Team A"/>
    <n v="48"/>
    <x v="0"/>
    <x v="1"/>
    <s v="Jan"/>
    <s v="Jan"/>
  </r>
  <r>
    <n v="354"/>
    <d v="2024-02-16T00:00:00"/>
    <s v=""/>
    <x v="0"/>
    <x v="0"/>
    <x v="2"/>
    <s v="Team A"/>
    <s v=""/>
    <x v="3"/>
    <x v="0"/>
    <s v="Feb"/>
    <s v=""/>
  </r>
  <r>
    <n v="355"/>
    <d v="2024-03-13T00:00:00"/>
    <d v="2024-03-21T00:00:00"/>
    <x v="1"/>
    <x v="0"/>
    <x v="1"/>
    <s v="Team A"/>
    <n v="192"/>
    <x v="11"/>
    <x v="9"/>
    <s v="Mar"/>
    <s v="Mar"/>
  </r>
  <r>
    <n v="356"/>
    <d v="2024-02-07T00:00:00"/>
    <s v=""/>
    <x v="0"/>
    <x v="1"/>
    <x v="0"/>
    <s v="Team B"/>
    <s v=""/>
    <x v="1"/>
    <x v="0"/>
    <s v="Feb"/>
    <s v=""/>
  </r>
  <r>
    <n v="357"/>
    <d v="2024-01-26T00:00:00"/>
    <s v=""/>
    <x v="0"/>
    <x v="1"/>
    <x v="0"/>
    <s v="Team A"/>
    <s v=""/>
    <x v="12"/>
    <x v="0"/>
    <s v="Jan"/>
    <s v=""/>
  </r>
  <r>
    <n v="358"/>
    <d v="2024-01-31T00:00:00"/>
    <s v=""/>
    <x v="0"/>
    <x v="1"/>
    <x v="1"/>
    <s v="Team A"/>
    <s v=""/>
    <x v="7"/>
    <x v="0"/>
    <s v="Jan"/>
    <s v=""/>
  </r>
  <r>
    <n v="359"/>
    <d v="2024-01-02T00:00:00"/>
    <s v=""/>
    <x v="0"/>
    <x v="0"/>
    <x v="0"/>
    <s v="Team A"/>
    <s v=""/>
    <x v="4"/>
    <x v="0"/>
    <s v="Jan"/>
    <s v=""/>
  </r>
  <r>
    <n v="360"/>
    <d v="2024-01-11T00:00:00"/>
    <s v=""/>
    <x v="0"/>
    <x v="0"/>
    <x v="0"/>
    <s v="Team B"/>
    <s v=""/>
    <x v="0"/>
    <x v="0"/>
    <s v="Jan"/>
    <s v=""/>
  </r>
  <r>
    <n v="361"/>
    <d v="2024-01-13T00:00:00"/>
    <m/>
    <x v="1"/>
    <x v="0"/>
    <x v="2"/>
    <s v="Team B"/>
    <n v="24"/>
    <x v="0"/>
    <x v="0"/>
    <s v="Jan"/>
    <s v=""/>
  </r>
  <r>
    <n v="362"/>
    <d v="2024-02-25T00:00:00"/>
    <s v=""/>
    <x v="0"/>
    <x v="0"/>
    <x v="0"/>
    <s v="Team B"/>
    <s v=""/>
    <x v="6"/>
    <x v="0"/>
    <s v="Feb"/>
    <s v=""/>
  </r>
  <r>
    <n v="363"/>
    <d v="2024-01-16T00:00:00"/>
    <d v="2024-01-19T00:00:00"/>
    <x v="1"/>
    <x v="1"/>
    <x v="0"/>
    <s v="Team B"/>
    <n v="72"/>
    <x v="2"/>
    <x v="4"/>
    <s v="Jan"/>
    <s v="Jan"/>
  </r>
  <r>
    <n v="364"/>
    <d v="2024-02-10T00:00:00"/>
    <s v=""/>
    <x v="0"/>
    <x v="1"/>
    <x v="1"/>
    <s v="Team A"/>
    <s v=""/>
    <x v="1"/>
    <x v="0"/>
    <s v="Feb"/>
    <s v=""/>
  </r>
  <r>
    <n v="365"/>
    <d v="2024-01-29T00:00:00"/>
    <d v="2024-02-01T00:00:00"/>
    <x v="1"/>
    <x v="0"/>
    <x v="1"/>
    <s v="Team B"/>
    <n v="72"/>
    <x v="7"/>
    <x v="6"/>
    <s v="Jan"/>
    <s v="Feb"/>
  </r>
  <r>
    <n v="366"/>
    <d v="2024-01-29T00:00:00"/>
    <d v="2024-02-03T00:00:00"/>
    <x v="1"/>
    <x v="0"/>
    <x v="0"/>
    <s v="Team B"/>
    <n v="120"/>
    <x v="7"/>
    <x v="6"/>
    <s v="Jan"/>
    <s v="Feb"/>
  </r>
  <r>
    <n v="367"/>
    <d v="2024-03-11T00:00:00"/>
    <s v=""/>
    <x v="0"/>
    <x v="0"/>
    <x v="0"/>
    <s v="Team B"/>
    <s v=""/>
    <x v="11"/>
    <x v="0"/>
    <s v="Mar"/>
    <s v=""/>
  </r>
  <r>
    <n v="368"/>
    <d v="2024-01-30T00:00:00"/>
    <s v=""/>
    <x v="0"/>
    <x v="0"/>
    <x v="0"/>
    <s v="Team A"/>
    <s v=""/>
    <x v="7"/>
    <x v="0"/>
    <s v="Jan"/>
    <s v=""/>
  </r>
  <r>
    <n v="369"/>
    <d v="2024-03-24T00:00:00"/>
    <s v=""/>
    <x v="0"/>
    <x v="1"/>
    <x v="0"/>
    <s v="Team B"/>
    <s v=""/>
    <x v="5"/>
    <x v="0"/>
    <s v="Mar"/>
    <s v=""/>
  </r>
  <r>
    <n v="370"/>
    <d v="2024-01-18T00:00:00"/>
    <s v=""/>
    <x v="0"/>
    <x v="0"/>
    <x v="0"/>
    <s v="Team B"/>
    <s v=""/>
    <x v="2"/>
    <x v="0"/>
    <s v="Jan"/>
    <s v=""/>
  </r>
  <r>
    <n v="371"/>
    <d v="2024-03-17T00:00:00"/>
    <s v=""/>
    <x v="0"/>
    <x v="0"/>
    <x v="0"/>
    <s v="Team B"/>
    <s v=""/>
    <x v="11"/>
    <x v="0"/>
    <s v="Mar"/>
    <s v=""/>
  </r>
  <r>
    <n v="372"/>
    <d v="2024-03-15T00:00:00"/>
    <s v=""/>
    <x v="0"/>
    <x v="1"/>
    <x v="1"/>
    <s v="Team A"/>
    <s v=""/>
    <x v="11"/>
    <x v="0"/>
    <s v="Mar"/>
    <s v=""/>
  </r>
  <r>
    <n v="373"/>
    <d v="2024-01-29T00:00:00"/>
    <s v=""/>
    <x v="0"/>
    <x v="1"/>
    <x v="2"/>
    <s v="Team B"/>
    <s v=""/>
    <x v="7"/>
    <x v="0"/>
    <s v="Jan"/>
    <s v=""/>
  </r>
  <r>
    <n v="374"/>
    <d v="2024-02-22T00:00:00"/>
    <s v=""/>
    <x v="0"/>
    <x v="1"/>
    <x v="1"/>
    <s v="Team B"/>
    <s v=""/>
    <x v="6"/>
    <x v="0"/>
    <s v="Feb"/>
    <s v=""/>
  </r>
  <r>
    <n v="375"/>
    <d v="2024-02-13T00:00:00"/>
    <d v="2024-02-17T00:00:00"/>
    <x v="1"/>
    <x v="0"/>
    <x v="0"/>
    <s v="Team B"/>
    <n v="96"/>
    <x v="3"/>
    <x v="7"/>
    <s v="Feb"/>
    <s v="Feb"/>
  </r>
  <r>
    <n v="376"/>
    <d v="2024-01-01T00:00:00"/>
    <s v=""/>
    <x v="0"/>
    <x v="0"/>
    <x v="0"/>
    <s v="Team A"/>
    <s v=""/>
    <x v="4"/>
    <x v="0"/>
    <s v="Jan"/>
    <s v=""/>
  </r>
  <r>
    <n v="377"/>
    <d v="2024-02-06T00:00:00"/>
    <s v=""/>
    <x v="0"/>
    <x v="1"/>
    <x v="1"/>
    <s v="Team B"/>
    <s v=""/>
    <x v="1"/>
    <x v="0"/>
    <s v="Feb"/>
    <s v=""/>
  </r>
  <r>
    <n v="378"/>
    <d v="2024-03-07T00:00:00"/>
    <s v=""/>
    <x v="0"/>
    <x v="1"/>
    <x v="1"/>
    <s v="Team A"/>
    <s v=""/>
    <x v="9"/>
    <x v="0"/>
    <s v="Mar"/>
    <s v=""/>
  </r>
  <r>
    <n v="379"/>
    <d v="2024-02-10T00:00:00"/>
    <s v=""/>
    <x v="0"/>
    <x v="0"/>
    <x v="1"/>
    <s v="Team A"/>
    <s v=""/>
    <x v="1"/>
    <x v="0"/>
    <s v="Feb"/>
    <s v=""/>
  </r>
  <r>
    <n v="380"/>
    <d v="2024-03-19T00:00:00"/>
    <d v="2024-03-23T00:00:00"/>
    <x v="1"/>
    <x v="1"/>
    <x v="2"/>
    <s v="Team B"/>
    <n v="96"/>
    <x v="5"/>
    <x v="9"/>
    <s v="Mar"/>
    <s v="Mar"/>
  </r>
  <r>
    <n v="381"/>
    <d v="2024-03-29T00:00:00"/>
    <s v=""/>
    <x v="0"/>
    <x v="1"/>
    <x v="1"/>
    <s v="Team A"/>
    <s v=""/>
    <x v="10"/>
    <x v="0"/>
    <s v="Mar"/>
    <s v=""/>
  </r>
  <r>
    <n v="382"/>
    <d v="2024-01-08T00:00:00"/>
    <s v=""/>
    <x v="0"/>
    <x v="0"/>
    <x v="2"/>
    <s v="Team A"/>
    <s v=""/>
    <x v="0"/>
    <x v="0"/>
    <s v="Jan"/>
    <s v=""/>
  </r>
  <r>
    <n v="383"/>
    <d v="2024-01-08T00:00:00"/>
    <s v=""/>
    <x v="0"/>
    <x v="1"/>
    <x v="1"/>
    <s v="Team A"/>
    <s v=""/>
    <x v="0"/>
    <x v="0"/>
    <s v="Jan"/>
    <s v=""/>
  </r>
  <r>
    <n v="384"/>
    <d v="2024-03-11T00:00:00"/>
    <s v=""/>
    <x v="0"/>
    <x v="0"/>
    <x v="1"/>
    <s v="Team A"/>
    <s v=""/>
    <x v="11"/>
    <x v="0"/>
    <s v="Mar"/>
    <s v=""/>
  </r>
  <r>
    <n v="385"/>
    <d v="2024-03-21T00:00:00"/>
    <s v=""/>
    <x v="0"/>
    <x v="1"/>
    <x v="2"/>
    <s v="Team B"/>
    <s v=""/>
    <x v="5"/>
    <x v="0"/>
    <s v="Mar"/>
    <s v=""/>
  </r>
  <r>
    <n v="386"/>
    <d v="2024-01-21T00:00:00"/>
    <s v=""/>
    <x v="0"/>
    <x v="0"/>
    <x v="2"/>
    <s v="Team B"/>
    <s v=""/>
    <x v="2"/>
    <x v="0"/>
    <s v="Jan"/>
    <s v=""/>
  </r>
  <r>
    <n v="387"/>
    <d v="2024-02-19T00:00:00"/>
    <s v=""/>
    <x v="0"/>
    <x v="1"/>
    <x v="0"/>
    <s v="Team A"/>
    <s v=""/>
    <x v="6"/>
    <x v="0"/>
    <s v="Feb"/>
    <s v=""/>
  </r>
  <r>
    <n v="388"/>
    <d v="2024-01-26T00:00:00"/>
    <m/>
    <x v="0"/>
    <x v="0"/>
    <x v="0"/>
    <s v="Team A"/>
    <m/>
    <x v="12"/>
    <x v="0"/>
    <s v="Jan"/>
    <s v=""/>
  </r>
  <r>
    <n v="389"/>
    <d v="2024-02-25T00:00:00"/>
    <s v=""/>
    <x v="0"/>
    <x v="0"/>
    <x v="0"/>
    <s v="Team A"/>
    <s v=""/>
    <x v="6"/>
    <x v="0"/>
    <s v="Feb"/>
    <s v=""/>
  </r>
  <r>
    <n v="390"/>
    <d v="2024-03-18T00:00:00"/>
    <s v=""/>
    <x v="0"/>
    <x v="0"/>
    <x v="1"/>
    <s v="Team A"/>
    <s v=""/>
    <x v="5"/>
    <x v="0"/>
    <s v="Mar"/>
    <s v=""/>
  </r>
  <r>
    <n v="391"/>
    <d v="2024-02-16T00:00:00"/>
    <s v=""/>
    <x v="0"/>
    <x v="1"/>
    <x v="0"/>
    <s v="Team B"/>
    <s v=""/>
    <x v="3"/>
    <x v="0"/>
    <s v="Feb"/>
    <s v=""/>
  </r>
  <r>
    <n v="392"/>
    <d v="2024-01-31T00:00:00"/>
    <s v=""/>
    <x v="0"/>
    <x v="1"/>
    <x v="0"/>
    <s v="Team B"/>
    <s v=""/>
    <x v="7"/>
    <x v="0"/>
    <s v="Jan"/>
    <s v=""/>
  </r>
  <r>
    <n v="393"/>
    <d v="2024-01-26T00:00:00"/>
    <s v=""/>
    <x v="0"/>
    <x v="0"/>
    <x v="1"/>
    <s v="Team A"/>
    <s v=""/>
    <x v="12"/>
    <x v="0"/>
    <s v="Jan"/>
    <s v=""/>
  </r>
  <r>
    <n v="394"/>
    <d v="2024-01-16T00:00:00"/>
    <s v=""/>
    <x v="0"/>
    <x v="0"/>
    <x v="0"/>
    <s v="Team A"/>
    <s v=""/>
    <x v="2"/>
    <x v="0"/>
    <s v="Jan"/>
    <s v=""/>
  </r>
  <r>
    <n v="395"/>
    <d v="2024-01-22T00:00:00"/>
    <s v=""/>
    <x v="0"/>
    <x v="0"/>
    <x v="1"/>
    <s v="Team B"/>
    <s v=""/>
    <x v="12"/>
    <x v="0"/>
    <s v="Jan"/>
    <s v=""/>
  </r>
  <r>
    <n v="396"/>
    <d v="2024-01-09T00:00:00"/>
    <s v=""/>
    <x v="0"/>
    <x v="1"/>
    <x v="1"/>
    <s v="Team A"/>
    <s v=""/>
    <x v="0"/>
    <x v="0"/>
    <s v="Jan"/>
    <s v=""/>
  </r>
  <r>
    <n v="397"/>
    <d v="2024-01-01T00:00:00"/>
    <s v=""/>
    <x v="0"/>
    <x v="0"/>
    <x v="0"/>
    <s v="Team B"/>
    <s v=""/>
    <x v="4"/>
    <x v="0"/>
    <s v="Jan"/>
    <s v=""/>
  </r>
  <r>
    <n v="398"/>
    <d v="2024-03-30T00:00:00"/>
    <s v=""/>
    <x v="0"/>
    <x v="1"/>
    <x v="0"/>
    <s v="Team A"/>
    <s v=""/>
    <x v="10"/>
    <x v="0"/>
    <s v="Mar"/>
    <s v=""/>
  </r>
  <r>
    <n v="399"/>
    <d v="2024-02-06T00:00:00"/>
    <s v=""/>
    <x v="0"/>
    <x v="0"/>
    <x v="0"/>
    <s v="Team A"/>
    <s v=""/>
    <x v="1"/>
    <x v="0"/>
    <s v="Feb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04_Analysis 4" cacheId="8" applyNumberFormats="0" applyBorderFormats="0" applyFontFormats="0" applyPatternFormats="0" applyAlignmentFormats="0" applyWidthHeightFormats="0" dataCaption="" updatedVersion="8" compact="0" compactData="0" chartFormat="470">
  <location ref="D22:G27" firstHeaderRow="1" firstDataRow="2" firstDataCol="1"/>
  <pivotFields count="12">
    <pivotField name="ticket_id" dataField="1" compact="0" outline="0" multipleItemSelectionAllowed="1" showAll="0"/>
    <pivotField name="creation_date" compact="0" numFmtId="14" outline="0" multipleItemSelectionAllowed="1" showAll="0"/>
    <pivotField name="resolution_date" compact="0" outline="0" multipleItemSelectionAllowed="1" showAll="0"/>
    <pivotField name="status" axis="axisCol" compact="0" outline="0" multipleItemSelectionAllowed="1" showAll="0">
      <items count="3">
        <item x="0"/>
        <item x="1"/>
        <item t="default"/>
      </items>
    </pivotField>
    <pivotField name="ticket_type" compact="0" outline="0" multipleItemSelectionAllowed="1" showAll="0"/>
    <pivotField name="priority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team" compact="0" outline="0" multipleItemSelectionAllowed="1" showAll="0"/>
    <pivotField name="resolution_time_hours" compact="0" outline="0" multipleItemSelectionAllowed="1" showAll="0"/>
    <pivotField name="creation_week" compact="0" outline="0" multipleItemSelectionAllowed="1" showAll="0"/>
    <pivotField name="resolution_week" compact="0" outline="0" multipleItemSelectionAllowed="1" showAll="0"/>
    <pivotField name="creation_month" compact="0" outline="0" multipleItemSelectionAllowed="1" showAll="0"/>
    <pivotField name="resolution_month"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uenta de ticket_id" fld="0" subtotal="count" baseField="5" baseItem="1"/>
  </dataFields>
  <formats count="6">
    <format dxfId="27">
      <pivotArea field="5" type="button" dataOnly="0" labelOnly="1" outline="0" axis="axisRow" fieldPosition="0"/>
    </format>
    <format dxfId="26">
      <pivotArea dataOnly="0" labelOnly="1" outline="0" axis="axisValues" fieldPosition="0"/>
    </format>
    <format dxfId="25">
      <pivotArea field="5" type="button" dataOnly="0" labelOnly="1" outline="0" axis="axisRow" fieldPosition="0"/>
    </format>
    <format dxfId="24">
      <pivotArea dataOnly="0" labelOnly="1" outline="0" axis="axisValues" fieldPosition="0"/>
    </format>
    <format dxfId="23">
      <pivotArea field="5" type="button" dataOnly="0" labelOnly="1" outline="0" axis="axisRow" fieldPosition="0"/>
    </format>
    <format dxfId="22">
      <pivotArea dataOnly="0" labelOnly="1" outline="0" axis="axisValues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04_Analysis 2" cacheId="8" applyNumberFormats="0" applyBorderFormats="0" applyFontFormats="0" applyPatternFormats="0" applyAlignmentFormats="0" applyWidthHeightFormats="0" dataCaption="" updatedVersion="8" compact="0" compactData="0">
  <location ref="D4:E19" firstHeaderRow="1" firstDataRow="1" firstDataCol="1"/>
  <pivotFields count="12">
    <pivotField name="ticket_id" dataField="1" compact="0" outline="0" multipleItemSelectionAllowed="1" showAll="0"/>
    <pivotField name="creation_date" compact="0" numFmtId="14" outline="0" multipleItemSelectionAllowed="1" showAll="0"/>
    <pivotField name="resolution_date" compact="0" outline="0" multipleItemSelectionAllowed="1" showAll="0"/>
    <pivotField name="status" compact="0" outline="0" multipleItemSelectionAllowed="1" showAll="0"/>
    <pivotField name="ticket_type" compact="0" outline="0" multipleItemSelectionAllowed="1" showAll="0"/>
    <pivotField name="priority" compact="0" outline="0" multipleItemSelectionAllowed="1" showAll="0"/>
    <pivotField name="team" compact="0" outline="0" multipleItemSelectionAllowed="1" showAll="0"/>
    <pivotField name="resolution_time_hours" compact="0" outline="0" multipleItemSelectionAllowed="1" showAll="0"/>
    <pivotField name="creation_week" compact="0" outline="0" multipleItemSelectionAllowed="1" showAll="0"/>
    <pivotField name="resolution_week" axis="axisRow" compact="0" outline="0" multipleItemSelectionAllowed="1" showAll="0" sortType="ascending">
      <items count="16">
        <item x="2"/>
        <item x="1"/>
        <item x="4"/>
        <item x="14"/>
        <item x="6"/>
        <item x="3"/>
        <item x="7"/>
        <item x="11"/>
        <item x="13"/>
        <item x="8"/>
        <item x="12"/>
        <item x="9"/>
        <item x="10"/>
        <item x="5"/>
        <item h="1" x="0"/>
        <item t="default"/>
      </items>
    </pivotField>
    <pivotField name="creation_month" compact="0" outline="0" multipleItemSelectionAllowed="1" showAll="0"/>
    <pivotField name="resolution_month" compact="0" outline="0" multipleItemSelectionAllowed="1" showAll="0"/>
  </pivotFields>
  <rowFields count="1">
    <field x="9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mpleted Tickets" fld="0" subtotal="count" baseField="0"/>
  </dataFields>
  <formats count="4">
    <format dxfId="31">
      <pivotArea field="9" type="button" dataOnly="0" labelOnly="1" outline="0" axis="axisRow" fieldPosition="0"/>
    </format>
    <format dxfId="30">
      <pivotArea dataOnly="0" labelOnly="1" outline="0" axis="axisValues" fieldPosition="0"/>
    </format>
    <format dxfId="29">
      <pivotArea field="9" type="button" dataOnly="0" labelOnly="1" outline="0" axis="axisRow" fieldPosition="0"/>
    </format>
    <format dxfId="28">
      <pivotArea dataOnly="0" labelOnly="1" outline="0" axis="axisValues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04_Analysis 3" cacheId="8" applyNumberFormats="0" applyBorderFormats="0" applyFontFormats="0" applyPatternFormats="0" applyAlignmentFormats="0" applyWidthHeightFormats="0" dataCaption="" updatedVersion="8" compact="0" compactData="0">
  <location ref="A22:B25" firstHeaderRow="1" firstDataRow="1" firstDataCol="1"/>
  <pivotFields count="12">
    <pivotField name="ticket_id" compact="0" outline="0" multipleItemSelectionAllowed="1" showAll="0"/>
    <pivotField name="creation_date" compact="0" numFmtId="14" outline="0" multipleItemSelectionAllowed="1" showAll="0"/>
    <pivotField name="resolution_date" compact="0" outline="0" multipleItemSelectionAllowed="1" showAll="0"/>
    <pivotField name="status" compact="0" outline="0" multipleItemSelectionAllowed="1" showAll="0"/>
    <pivotField name="ticket_type" axis="axisRow" compact="0" outline="0" multipleItemSelectionAllowed="1" showAll="0" sortType="ascending">
      <items count="3">
        <item x="1"/>
        <item x="0"/>
        <item t="default"/>
      </items>
    </pivotField>
    <pivotField name="priority" compact="0" outline="0" multipleItemSelectionAllowed="1" showAll="0"/>
    <pivotField name="team" compact="0" outline="0" multipleItemSelectionAllowed="1" showAll="0"/>
    <pivotField name="resolution_time_hours" dataField="1" compact="0" outline="0" multipleItemSelectionAllowed="1" showAll="0"/>
    <pivotField name="creation_week" compact="0" outline="0" multipleItemSelectionAllowed="1" showAll="0"/>
    <pivotField name="resolution_week" compact="0" outline="0" multipleItemSelectionAllowed="1" showAll="0"/>
    <pivotField name="creation_month" compact="0" outline="0" multipleItemSelectionAllowed="1" showAll="0"/>
    <pivotField name="resolution_month" compact="0" outline="0" multipleItemSelectionAllowe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Resolution Time (hrs)" fld="7" subtotal="average" baseField="0" numFmtId="164"/>
  </dataFields>
  <formats count="5">
    <format dxfId="36">
      <pivotArea field="4" type="button" dataOnly="0" labelOnly="1" outline="0" axis="axisRow" fieldPosition="0"/>
    </format>
    <format dxfId="35">
      <pivotArea dataOnly="0" labelOnly="1" outline="0" axis="axisValues" fieldPosition="0"/>
    </format>
    <format dxfId="34">
      <pivotArea field="4" type="button" dataOnly="0" labelOnly="1" outline="0" axis="axisRow" fieldPosition="0"/>
    </format>
    <format dxfId="33">
      <pivotArea dataOnly="0" labelOnly="1" outline="0" axis="axisValues" fieldPosition="0"/>
    </format>
    <format dxfId="3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04_Analysis" cacheId="8" applyNumberFormats="0" applyBorderFormats="0" applyFontFormats="0" applyPatternFormats="0" applyAlignmentFormats="0" applyWidthHeightFormats="0" dataCaption="" updatedVersion="8" compact="0" compactData="0">
  <location ref="A4:B18" firstHeaderRow="1" firstDataRow="1" firstDataCol="1"/>
  <pivotFields count="12">
    <pivotField name="ticket_id" dataField="1" compact="0" outline="0" multipleItemSelectionAllowed="1" showAll="0"/>
    <pivotField name="creation_date" compact="0" numFmtId="14" outline="0" multipleItemSelectionAllowed="1" showAll="0"/>
    <pivotField name="resolution_date" compact="0" outline="0" multipleItemSelectionAllowed="1" showAll="0"/>
    <pivotField name="status" compact="0" outline="0" multipleItemSelectionAllowed="1" showAll="0"/>
    <pivotField name="ticket_type" compact="0" outline="0" multipleItemSelectionAllowed="1" showAll="0"/>
    <pivotField name="priority" compact="0" outline="0" multipleItemSelectionAllowed="1" showAll="0"/>
    <pivotField name="team" compact="0" outline="0" multipleItemSelectionAllowed="1" showAll="0"/>
    <pivotField name="resolution_time_hours" compact="0" outline="0" multipleItemSelectionAllowed="1" showAll="0"/>
    <pivotField name="creation_week" axis="axisRow" compact="0" outline="0" multipleItemSelectionAllowed="1" showAll="0" sortType="ascending">
      <items count="14">
        <item x="4"/>
        <item x="0"/>
        <item x="2"/>
        <item x="12"/>
        <item x="7"/>
        <item x="1"/>
        <item x="3"/>
        <item x="6"/>
        <item x="8"/>
        <item x="9"/>
        <item x="11"/>
        <item x="5"/>
        <item x="10"/>
        <item t="default"/>
      </items>
    </pivotField>
    <pivotField name="resolution_week" compact="0" outline="0" multipleItemSelectionAllowed="1" showAll="0"/>
    <pivotField name="creation_month" compact="0" outline="0" multipleItemSelectionAllowed="1" showAll="0"/>
    <pivotField name="resolution_month" compact="0" outline="0" multipleItemSelectionAllowed="1" showAll="0"/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Incoming Tickets" fld="0" subtotal="count" baseField="8" baseItem="4"/>
  </dataFields>
  <formats count="4">
    <format dxfId="40">
      <pivotArea field="8" type="button" dataOnly="0" labelOnly="1" outline="0" axis="axisRow" fieldPosition="0"/>
    </format>
    <format dxfId="39">
      <pivotArea dataOnly="0" labelOnly="1" outline="0" axis="axisValues" fieldPosition="0"/>
    </format>
    <format dxfId="38">
      <pivotArea field="8" type="button" dataOnly="0" labelOnly="1" outline="0" axis="axisRow" fieldPosition="0"/>
    </format>
    <format dxfId="37">
      <pivotArea dataOnly="0" labelOnly="1" outline="0" axis="axisValues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42BC9D-6ECB-443A-BC1F-F9D6230D4252}" name="Tabla2" displayName="Tabla2" ref="A3:H402" totalsRowShown="0" headerRowDxfId="51" dataDxfId="49" headerRowBorderDxfId="50">
  <autoFilter ref="A3:H402" xr:uid="{FB42BC9D-6ECB-443A-BC1F-F9D6230D4252}"/>
  <tableColumns count="8">
    <tableColumn id="1" xr3:uid="{48E18015-1834-487E-9E75-6118D9F5EE2E}" name="ticket_id" dataDxfId="48"/>
    <tableColumn id="2" xr3:uid="{9167CA6E-B2A1-4E55-A545-4FE27D3CA2BA}" name="creation_date" dataDxfId="47"/>
    <tableColumn id="3" xr3:uid="{B85A445E-265D-48D3-9226-9AF3B56C079B}" name="resolution_date" dataDxfId="46"/>
    <tableColumn id="4" xr3:uid="{C5B22F94-961F-444B-9E26-96B0D5A80361}" name="status" dataDxfId="45"/>
    <tableColumn id="5" xr3:uid="{5CA6BC4B-7754-4B69-93D6-CCEF44F40AED}" name="ticket_type" dataDxfId="44"/>
    <tableColumn id="6" xr3:uid="{FACD2FC6-7494-4E0A-9C1D-EF82FFD04AA4}" name="priority" dataDxfId="43"/>
    <tableColumn id="7" xr3:uid="{C89BA63A-818D-43AD-A050-B2AE4906DC35}" name="team" dataDxfId="42"/>
    <tableColumn id="8" xr3:uid="{9DDFBC17-29FA-466B-B41F-2F2BCBE97C17}" name="resolution_time_hours" dataDxfId="4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655203-8079-4872-8989-8B9801262D80}" name="Tabla3" displayName="Tabla3" ref="A3:L402" totalsRowShown="0" dataDxfId="64">
  <autoFilter ref="A3:L402" xr:uid="{D0655203-8079-4872-8989-8B9801262D80}"/>
  <tableColumns count="12">
    <tableColumn id="1" xr3:uid="{A1C49B12-4B4F-4291-AF4D-7E01C0F80DA9}" name="ticket_id" dataDxfId="63"/>
    <tableColumn id="2" xr3:uid="{D6A88207-FFF2-4F51-BED1-E1DD94D50975}" name="creation_date" dataDxfId="62"/>
    <tableColumn id="3" xr3:uid="{E60F0F8A-40FA-47AD-BE6B-A9DA096AB0FE}" name="resolution_date" dataDxfId="61"/>
    <tableColumn id="4" xr3:uid="{811100A2-B476-4DC7-85A4-371A433F8D77}" name="status" dataDxfId="60"/>
    <tableColumn id="5" xr3:uid="{FE23D647-902F-4093-B028-A9036FB076DD}" name="ticket_type" dataDxfId="59"/>
    <tableColumn id="6" xr3:uid="{3E62F9FC-23DE-49B2-8DCD-BD76C9427632}" name="priority" dataDxfId="58"/>
    <tableColumn id="7" xr3:uid="{124E1354-41FF-46BB-9967-385EE4756930}" name="team" dataDxfId="57"/>
    <tableColumn id="8" xr3:uid="{348CDDA5-8425-4CF4-B3FB-B1911B1755DF}" name="resolution_time_hours" dataDxfId="56"/>
    <tableColumn id="9" xr3:uid="{6F967E94-BCC0-429A-A973-0CB68DD93A30}" name="creation_week" dataDxfId="55">
      <calculatedColumnFormula>WEEKNUM(B4,2)</calculatedColumnFormula>
    </tableColumn>
    <tableColumn id="10" xr3:uid="{CB8C677A-8E53-4286-82F0-A61ED238E7E5}" name="resolution_week" dataDxfId="54">
      <calculatedColumnFormula>IF(C4="","",WEEKNUM(C4,2))</calculatedColumnFormula>
    </tableColumn>
    <tableColumn id="11" xr3:uid="{A54136D7-BAAF-4921-B822-E4F9C1C9021F}" name="creation_month" dataDxfId="53">
      <calculatedColumnFormula>VLOOKUP(MONTH(B4),'03_Lookup'!A:B,2,FALSE)</calculatedColumnFormula>
    </tableColumn>
    <tableColumn id="12" xr3:uid="{511FBABA-0756-4475-B579-28A529AE474F}" name="resolution_month" dataDxfId="52">
      <calculatedColumnFormula>IF(C4="","",VLOOKUP(MONTH(C4),'03_Lookup'!A:B,2,FALSE))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7"/>
  <sheetViews>
    <sheetView zoomScale="90" zoomScaleNormal="90" workbookViewId="0">
      <selection activeCell="C13" sqref="C13"/>
    </sheetView>
  </sheetViews>
  <sheetFormatPr baseColWidth="10" defaultColWidth="12.6328125" defaultRowHeight="15.75" customHeight="1" x14ac:dyDescent="0.25"/>
  <cols>
    <col min="1" max="1" width="60.26953125" customWidth="1"/>
    <col min="2" max="2" width="64.90625" customWidth="1"/>
    <col min="3" max="3" width="43.7265625" customWidth="1"/>
    <col min="7" max="7" width="17.90625" customWidth="1"/>
  </cols>
  <sheetData>
    <row r="1" spans="1:14" ht="18" customHeight="1" thickBot="1" x14ac:dyDescent="0.3">
      <c r="A1" s="125" t="s">
        <v>108</v>
      </c>
      <c r="B1" s="126"/>
    </row>
    <row r="2" spans="1:14" ht="15.75" customHeight="1" x14ac:dyDescent="0.25">
      <c r="A2" s="40"/>
      <c r="B2" s="37"/>
    </row>
    <row r="3" spans="1:14" ht="14.5" thickBot="1" x14ac:dyDescent="0.35">
      <c r="A3" s="61" t="s">
        <v>0</v>
      </c>
      <c r="B3" s="64" t="s">
        <v>1</v>
      </c>
      <c r="D3" s="2"/>
      <c r="E3" s="2"/>
      <c r="F3" s="2"/>
      <c r="I3" s="2"/>
      <c r="J3" s="2"/>
      <c r="K3" s="2"/>
      <c r="L3" s="2"/>
      <c r="M3" s="2"/>
      <c r="N3" s="2"/>
    </row>
    <row r="4" spans="1:14" ht="42" x14ac:dyDescent="0.3">
      <c r="A4" s="62" t="s">
        <v>3</v>
      </c>
      <c r="B4" s="63" t="s">
        <v>4</v>
      </c>
      <c r="D4" s="3"/>
      <c r="E4" s="3"/>
      <c r="F4" s="3"/>
      <c r="I4" s="2"/>
      <c r="J4" s="2"/>
      <c r="K4" s="2"/>
      <c r="L4" s="2"/>
      <c r="M4" s="2"/>
      <c r="N4" s="2"/>
    </row>
    <row r="5" spans="1:14" ht="14.5" thickBot="1" x14ac:dyDescent="0.35">
      <c r="A5" s="65" t="s">
        <v>9</v>
      </c>
      <c r="B5" s="67" t="s">
        <v>10</v>
      </c>
      <c r="D5" s="2"/>
      <c r="E5" s="2"/>
      <c r="F5" s="2"/>
      <c r="I5" s="2"/>
      <c r="J5" s="2"/>
      <c r="K5" s="2"/>
      <c r="L5" s="2"/>
      <c r="M5" s="2"/>
      <c r="N5" s="2"/>
    </row>
    <row r="6" spans="1:14" ht="14" x14ac:dyDescent="0.3">
      <c r="A6" s="66" t="s">
        <v>13</v>
      </c>
      <c r="B6" s="68" t="s">
        <v>14</v>
      </c>
      <c r="D6" s="2"/>
      <c r="E6" s="2"/>
      <c r="F6" s="2"/>
      <c r="I6" s="2"/>
      <c r="J6" s="2"/>
      <c r="K6" s="2"/>
      <c r="L6" s="2"/>
      <c r="M6" s="2"/>
      <c r="N6" s="2"/>
    </row>
    <row r="7" spans="1:14" ht="14" x14ac:dyDescent="0.3">
      <c r="A7" s="49" t="s">
        <v>17</v>
      </c>
      <c r="B7" s="50" t="s">
        <v>18</v>
      </c>
      <c r="D7" s="2"/>
      <c r="E7" s="2"/>
      <c r="F7" s="2"/>
      <c r="I7" s="2"/>
      <c r="J7" s="2"/>
      <c r="K7" s="2"/>
      <c r="L7" s="2"/>
      <c r="M7" s="2"/>
      <c r="N7" s="2"/>
    </row>
    <row r="8" spans="1:14" ht="14" x14ac:dyDescent="0.3">
      <c r="A8" s="51" t="s">
        <v>109</v>
      </c>
      <c r="B8" s="52" t="s">
        <v>21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4" x14ac:dyDescent="0.3">
      <c r="A9" s="47" t="s">
        <v>22</v>
      </c>
      <c r="B9" s="52" t="s">
        <v>23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4" x14ac:dyDescent="0.3">
      <c r="A10" s="50"/>
      <c r="B10" s="52" t="s">
        <v>24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7" customHeight="1" x14ac:dyDescent="0.3">
      <c r="A11" s="53"/>
      <c r="B11" s="52" t="s">
        <v>26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4.5" thickBot="1" x14ac:dyDescent="0.35">
      <c r="A12" s="65" t="s">
        <v>25</v>
      </c>
      <c r="B12" s="67" t="s">
        <v>29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4" x14ac:dyDescent="0.3">
      <c r="A13" s="66" t="s">
        <v>27</v>
      </c>
      <c r="B13" s="68" t="s">
        <v>31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4" x14ac:dyDescent="0.3">
      <c r="A14" s="50" t="s">
        <v>28</v>
      </c>
      <c r="B14" s="123" t="s">
        <v>33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4" x14ac:dyDescent="0.3">
      <c r="A15" s="50" t="s">
        <v>30</v>
      </c>
      <c r="B15" s="12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4" x14ac:dyDescent="0.3">
      <c r="A16" s="50" t="s">
        <v>32</v>
      </c>
      <c r="B16" s="123" t="s">
        <v>35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4" x14ac:dyDescent="0.3">
      <c r="A17" s="50" t="s">
        <v>34</v>
      </c>
      <c r="B17" s="12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4" x14ac:dyDescent="0.3">
      <c r="A18" s="35"/>
      <c r="B18" s="3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4" x14ac:dyDescent="0.3">
      <c r="A19" s="18"/>
      <c r="B19" s="1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6" thickBot="1" x14ac:dyDescent="0.35">
      <c r="A20" s="127" t="s">
        <v>2</v>
      </c>
      <c r="B20" s="12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.75" customHeight="1" x14ac:dyDescent="0.25">
      <c r="A21" s="38"/>
      <c r="B21" s="39"/>
    </row>
    <row r="22" spans="1:14" ht="15.75" customHeight="1" thickBot="1" x14ac:dyDescent="0.3">
      <c r="A22" s="59" t="s">
        <v>5</v>
      </c>
      <c r="B22" s="60" t="s">
        <v>6</v>
      </c>
    </row>
    <row r="23" spans="1:14" ht="15.75" customHeight="1" x14ac:dyDescent="0.25">
      <c r="A23" s="50" t="s">
        <v>7</v>
      </c>
      <c r="B23" s="52" t="s">
        <v>8</v>
      </c>
    </row>
    <row r="24" spans="1:14" ht="15.75" customHeight="1" x14ac:dyDescent="0.25">
      <c r="A24" s="48" t="s">
        <v>11</v>
      </c>
      <c r="B24" s="54" t="s">
        <v>12</v>
      </c>
    </row>
    <row r="25" spans="1:14" ht="30.5" customHeight="1" x14ac:dyDescent="0.25">
      <c r="A25" s="55" t="s">
        <v>15</v>
      </c>
      <c r="B25" s="56" t="s">
        <v>16</v>
      </c>
    </row>
    <row r="26" spans="1:14" ht="15.75" customHeight="1" x14ac:dyDescent="0.25">
      <c r="A26" s="57" t="s">
        <v>19</v>
      </c>
      <c r="B26" s="58" t="s">
        <v>20</v>
      </c>
    </row>
    <row r="27" spans="1:14" ht="15.75" customHeight="1" x14ac:dyDescent="0.25">
      <c r="B27" s="25"/>
    </row>
  </sheetData>
  <mergeCells count="4">
    <mergeCell ref="B14:B15"/>
    <mergeCell ref="B16:B17"/>
    <mergeCell ref="A1:B1"/>
    <mergeCell ref="A20:B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02"/>
  <sheetViews>
    <sheetView workbookViewId="0">
      <selection activeCell="G8" sqref="G8"/>
    </sheetView>
  </sheetViews>
  <sheetFormatPr baseColWidth="10" defaultColWidth="12.6328125" defaultRowHeight="15.75" customHeight="1" x14ac:dyDescent="0.25"/>
  <cols>
    <col min="2" max="2" width="14.54296875" customWidth="1"/>
    <col min="3" max="3" width="16.1796875" customWidth="1"/>
    <col min="8" max="8" width="22.08984375" customWidth="1"/>
  </cols>
  <sheetData>
    <row r="1" spans="1:26" ht="15.75" customHeight="1" thickBot="1" x14ac:dyDescent="0.3">
      <c r="A1" s="129" t="s">
        <v>130</v>
      </c>
      <c r="B1" s="129"/>
      <c r="C1" s="129"/>
      <c r="D1" s="129"/>
      <c r="E1" s="129"/>
      <c r="F1" s="129"/>
      <c r="G1" s="129"/>
      <c r="H1" s="129"/>
    </row>
    <row r="3" spans="1:26" ht="15.75" customHeight="1" thickBot="1" x14ac:dyDescent="0.3">
      <c r="A3" s="120" t="s">
        <v>36</v>
      </c>
      <c r="B3" s="120" t="s">
        <v>37</v>
      </c>
      <c r="C3" s="120" t="s">
        <v>38</v>
      </c>
      <c r="D3" s="120" t="s">
        <v>39</v>
      </c>
      <c r="E3" s="120" t="s">
        <v>40</v>
      </c>
      <c r="F3" s="120" t="s">
        <v>41</v>
      </c>
      <c r="G3" s="120" t="s">
        <v>42</v>
      </c>
      <c r="H3" s="120" t="s">
        <v>43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5">
        <v>1</v>
      </c>
      <c r="B4" s="6">
        <v>45301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135</v>
      </c>
      <c r="H4" s="4" t="s">
        <v>44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5">
      <c r="A5" s="5">
        <v>2</v>
      </c>
      <c r="B5" s="6">
        <v>45329</v>
      </c>
      <c r="C5" s="4" t="s">
        <v>44</v>
      </c>
      <c r="D5" s="4" t="s">
        <v>45</v>
      </c>
      <c r="E5" s="4" t="s">
        <v>48</v>
      </c>
      <c r="F5" s="4" t="s">
        <v>47</v>
      </c>
      <c r="G5" s="4" t="s">
        <v>136</v>
      </c>
      <c r="H5" s="4" t="s">
        <v>44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5">
        <v>3</v>
      </c>
      <c r="B6" s="6">
        <v>45307</v>
      </c>
      <c r="C6" s="4" t="s">
        <v>44</v>
      </c>
      <c r="D6" s="4" t="s">
        <v>45</v>
      </c>
      <c r="E6" s="4" t="s">
        <v>48</v>
      </c>
      <c r="F6" s="4" t="s">
        <v>47</v>
      </c>
      <c r="G6" s="4" t="s">
        <v>136</v>
      </c>
      <c r="H6" s="4" t="s">
        <v>44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5">
      <c r="A7" s="5">
        <v>4</v>
      </c>
      <c r="B7" s="6">
        <v>45336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136</v>
      </c>
      <c r="H7" s="4" t="s">
        <v>44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5">
        <v>5</v>
      </c>
      <c r="B8" s="6">
        <v>45333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136</v>
      </c>
      <c r="H8" s="4" t="s">
        <v>44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5">
      <c r="A9" s="5">
        <v>6</v>
      </c>
      <c r="B9" s="6">
        <v>45292</v>
      </c>
      <c r="C9" s="7"/>
      <c r="D9" s="4" t="s">
        <v>45</v>
      </c>
      <c r="E9" s="4" t="s">
        <v>46</v>
      </c>
      <c r="F9" s="4" t="s">
        <v>49</v>
      </c>
      <c r="G9" s="4" t="s">
        <v>135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5">
      <c r="A10" s="5">
        <v>7</v>
      </c>
      <c r="B10" s="6">
        <v>45369</v>
      </c>
      <c r="C10" s="7"/>
      <c r="D10" s="4" t="s">
        <v>50</v>
      </c>
      <c r="E10" s="4" t="s">
        <v>48</v>
      </c>
      <c r="F10" s="4" t="s">
        <v>49</v>
      </c>
      <c r="G10" s="4" t="s">
        <v>136</v>
      </c>
      <c r="H10" s="5">
        <v>216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5">
        <v>8</v>
      </c>
      <c r="B11" s="6">
        <v>45331</v>
      </c>
      <c r="C11" s="4" t="s">
        <v>44</v>
      </c>
      <c r="D11" s="4" t="s">
        <v>45</v>
      </c>
      <c r="E11" s="4" t="s">
        <v>46</v>
      </c>
      <c r="F11" s="4" t="s">
        <v>47</v>
      </c>
      <c r="G11" s="4" t="s">
        <v>136</v>
      </c>
      <c r="H11" s="4" t="s">
        <v>44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5">
      <c r="A12" s="5">
        <v>9</v>
      </c>
      <c r="B12" s="6">
        <v>45330</v>
      </c>
      <c r="C12" s="4" t="s">
        <v>44</v>
      </c>
      <c r="D12" s="4" t="s">
        <v>45</v>
      </c>
      <c r="E12" s="4" t="s">
        <v>48</v>
      </c>
      <c r="F12" s="4" t="s">
        <v>51</v>
      </c>
      <c r="G12" s="4" t="s">
        <v>135</v>
      </c>
      <c r="H12" s="4" t="s">
        <v>44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5">
        <v>10</v>
      </c>
      <c r="B13" s="6">
        <v>45298</v>
      </c>
      <c r="C13" s="6">
        <v>45305</v>
      </c>
      <c r="D13" s="4" t="s">
        <v>50</v>
      </c>
      <c r="E13" s="4" t="s">
        <v>46</v>
      </c>
      <c r="F13" s="4" t="s">
        <v>47</v>
      </c>
      <c r="G13" s="4" t="s">
        <v>135</v>
      </c>
      <c r="H13" s="5">
        <v>168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5">
        <v>11</v>
      </c>
      <c r="B14" s="6">
        <v>45344</v>
      </c>
      <c r="C14" s="4" t="s">
        <v>44</v>
      </c>
      <c r="D14" s="4" t="s">
        <v>45</v>
      </c>
      <c r="E14" s="4" t="s">
        <v>46</v>
      </c>
      <c r="F14" s="4" t="s">
        <v>47</v>
      </c>
      <c r="G14" s="4" t="s">
        <v>136</v>
      </c>
      <c r="H14" s="4" t="s">
        <v>44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5">
        <v>12</v>
      </c>
      <c r="B15" s="6">
        <v>45304</v>
      </c>
      <c r="C15" s="4" t="s">
        <v>44</v>
      </c>
      <c r="D15" s="4" t="s">
        <v>45</v>
      </c>
      <c r="E15" s="4" t="s">
        <v>46</v>
      </c>
      <c r="F15" s="4" t="s">
        <v>47</v>
      </c>
      <c r="G15" s="4" t="s">
        <v>136</v>
      </c>
      <c r="H15" s="4" t="s">
        <v>44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5">
        <v>13</v>
      </c>
      <c r="B16" s="6">
        <v>45324</v>
      </c>
      <c r="C16" s="7"/>
      <c r="D16" s="4" t="s">
        <v>50</v>
      </c>
      <c r="E16" s="4" t="s">
        <v>46</v>
      </c>
      <c r="F16" s="4" t="s">
        <v>51</v>
      </c>
      <c r="G16" s="4" t="s">
        <v>136</v>
      </c>
      <c r="H16" s="5">
        <v>48</v>
      </c>
      <c r="I16" s="4"/>
      <c r="J16" s="4"/>
      <c r="K16" s="4"/>
      <c r="L16" s="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5">
        <v>14</v>
      </c>
      <c r="B17" s="6">
        <v>45353</v>
      </c>
      <c r="C17" s="4" t="s">
        <v>44</v>
      </c>
      <c r="D17" s="4" t="s">
        <v>45</v>
      </c>
      <c r="E17" s="4" t="s">
        <v>46</v>
      </c>
      <c r="F17" s="4" t="s">
        <v>47</v>
      </c>
      <c r="G17" s="4" t="s">
        <v>135</v>
      </c>
      <c r="H17" s="4" t="s">
        <v>44</v>
      </c>
      <c r="I17" s="4"/>
      <c r="J17" s="4"/>
      <c r="K17" s="4"/>
      <c r="L17" s="8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5">
        <v>15</v>
      </c>
      <c r="B18" s="6">
        <v>45338</v>
      </c>
      <c r="C18" s="4" t="s">
        <v>44</v>
      </c>
      <c r="D18" s="4" t="s">
        <v>45</v>
      </c>
      <c r="E18" s="4" t="s">
        <v>46</v>
      </c>
      <c r="F18" s="4" t="s">
        <v>47</v>
      </c>
      <c r="G18" s="4" t="s">
        <v>136</v>
      </c>
      <c r="H18" s="4" t="s">
        <v>44</v>
      </c>
      <c r="I18" s="4"/>
      <c r="J18" s="4"/>
      <c r="K18" s="4"/>
      <c r="L18" s="8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5">
        <v>16</v>
      </c>
      <c r="B19" s="6">
        <v>45300</v>
      </c>
      <c r="C19" s="4" t="s">
        <v>44</v>
      </c>
      <c r="D19" s="4" t="s">
        <v>45</v>
      </c>
      <c r="E19" s="4" t="s">
        <v>48</v>
      </c>
      <c r="F19" s="4" t="s">
        <v>47</v>
      </c>
      <c r="G19" s="4" t="s">
        <v>135</v>
      </c>
      <c r="H19" s="4" t="s">
        <v>44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5">
        <v>17</v>
      </c>
      <c r="B20" s="6">
        <v>45337</v>
      </c>
      <c r="C20" s="4" t="s">
        <v>44</v>
      </c>
      <c r="D20" s="4" t="s">
        <v>45</v>
      </c>
      <c r="E20" s="4" t="s">
        <v>46</v>
      </c>
      <c r="F20" s="4" t="s">
        <v>51</v>
      </c>
      <c r="G20" s="4" t="s">
        <v>135</v>
      </c>
      <c r="H20" s="4" t="s">
        <v>44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5">
        <v>18</v>
      </c>
      <c r="B21" s="6">
        <v>45357</v>
      </c>
      <c r="C21" s="4" t="s">
        <v>44</v>
      </c>
      <c r="D21" s="4" t="s">
        <v>45</v>
      </c>
      <c r="E21" s="4" t="s">
        <v>46</v>
      </c>
      <c r="F21" s="4" t="s">
        <v>47</v>
      </c>
      <c r="G21" s="4" t="s">
        <v>135</v>
      </c>
      <c r="H21" s="4" t="s">
        <v>44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5">
        <v>19</v>
      </c>
      <c r="B22" s="6">
        <v>45369</v>
      </c>
      <c r="C22" s="4" t="s">
        <v>44</v>
      </c>
      <c r="D22" s="4" t="s">
        <v>45</v>
      </c>
      <c r="E22" s="4" t="s">
        <v>48</v>
      </c>
      <c r="F22" s="4" t="s">
        <v>47</v>
      </c>
      <c r="G22" s="4" t="s">
        <v>136</v>
      </c>
      <c r="H22" s="4" t="s">
        <v>44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5">
        <v>20</v>
      </c>
      <c r="B23" s="6">
        <v>45299</v>
      </c>
      <c r="C23" s="6">
        <v>45300</v>
      </c>
      <c r="D23" s="4" t="s">
        <v>50</v>
      </c>
      <c r="E23" s="4" t="s">
        <v>48</v>
      </c>
      <c r="F23" s="4" t="s">
        <v>51</v>
      </c>
      <c r="G23" s="4" t="s">
        <v>136</v>
      </c>
      <c r="H23" s="5">
        <v>24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5">
        <v>21</v>
      </c>
      <c r="B24" s="6">
        <v>45298</v>
      </c>
      <c r="C24" s="6">
        <v>45296</v>
      </c>
      <c r="D24" s="4" t="s">
        <v>50</v>
      </c>
      <c r="E24" s="4" t="s">
        <v>48</v>
      </c>
      <c r="F24" s="4" t="s">
        <v>47</v>
      </c>
      <c r="G24" s="4" t="s">
        <v>135</v>
      </c>
      <c r="H24" s="5">
        <v>144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5">
        <v>22</v>
      </c>
      <c r="B25" s="6">
        <v>45310</v>
      </c>
      <c r="C25" s="4" t="s">
        <v>44</v>
      </c>
      <c r="D25" s="4" t="s">
        <v>45</v>
      </c>
      <c r="E25" s="4" t="s">
        <v>46</v>
      </c>
      <c r="F25" s="4" t="s">
        <v>51</v>
      </c>
      <c r="G25" s="4" t="s">
        <v>135</v>
      </c>
      <c r="H25" s="4" t="s">
        <v>44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5" x14ac:dyDescent="0.25">
      <c r="A26" s="5">
        <v>23</v>
      </c>
      <c r="B26" s="6">
        <v>45309</v>
      </c>
      <c r="C26" s="4" t="s">
        <v>44</v>
      </c>
      <c r="D26" s="4" t="s">
        <v>45</v>
      </c>
      <c r="E26" s="4" t="s">
        <v>46</v>
      </c>
      <c r="F26" s="4" t="s">
        <v>47</v>
      </c>
      <c r="G26" s="4" t="s">
        <v>136</v>
      </c>
      <c r="H26" s="4" t="s">
        <v>44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5" x14ac:dyDescent="0.25">
      <c r="A27" s="5">
        <v>24</v>
      </c>
      <c r="B27" s="6">
        <v>45376</v>
      </c>
      <c r="C27" s="4" t="s">
        <v>44</v>
      </c>
      <c r="D27" s="4" t="s">
        <v>45</v>
      </c>
      <c r="E27" s="4" t="s">
        <v>48</v>
      </c>
      <c r="F27" s="4" t="s">
        <v>47</v>
      </c>
      <c r="G27" s="4" t="s">
        <v>136</v>
      </c>
      <c r="H27" s="4" t="s">
        <v>44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5" x14ac:dyDescent="0.25">
      <c r="A28" s="5">
        <v>25</v>
      </c>
      <c r="B28" s="6">
        <v>45302</v>
      </c>
      <c r="C28" s="6">
        <v>45301</v>
      </c>
      <c r="D28" s="4" t="s">
        <v>50</v>
      </c>
      <c r="E28" s="4" t="s">
        <v>46</v>
      </c>
      <c r="F28" s="4" t="s">
        <v>51</v>
      </c>
      <c r="G28" s="4" t="s">
        <v>136</v>
      </c>
      <c r="H28" s="5">
        <v>168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5" x14ac:dyDescent="0.25">
      <c r="A29" s="5">
        <v>26</v>
      </c>
      <c r="B29" s="6">
        <v>45298</v>
      </c>
      <c r="C29" s="4" t="s">
        <v>44</v>
      </c>
      <c r="D29" s="4" t="s">
        <v>45</v>
      </c>
      <c r="E29" s="4" t="s">
        <v>48</v>
      </c>
      <c r="F29" s="4" t="s">
        <v>49</v>
      </c>
      <c r="G29" s="4" t="s">
        <v>136</v>
      </c>
      <c r="H29" s="4" t="s">
        <v>44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5" x14ac:dyDescent="0.25">
      <c r="A30" s="5">
        <v>27</v>
      </c>
      <c r="B30" s="6">
        <v>45323</v>
      </c>
      <c r="C30" s="4" t="s">
        <v>44</v>
      </c>
      <c r="D30" s="4" t="s">
        <v>45</v>
      </c>
      <c r="E30" s="4" t="s">
        <v>48</v>
      </c>
      <c r="F30" s="4" t="s">
        <v>49</v>
      </c>
      <c r="G30" s="4" t="s">
        <v>136</v>
      </c>
      <c r="H30" s="4" t="s">
        <v>44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5" x14ac:dyDescent="0.25">
      <c r="A31" s="5">
        <v>28</v>
      </c>
      <c r="B31" s="6">
        <v>45348</v>
      </c>
      <c r="C31" s="4" t="s">
        <v>44</v>
      </c>
      <c r="D31" s="4" t="s">
        <v>45</v>
      </c>
      <c r="E31" s="4" t="s">
        <v>48</v>
      </c>
      <c r="F31" s="4" t="s">
        <v>47</v>
      </c>
      <c r="G31" s="4" t="s">
        <v>135</v>
      </c>
      <c r="H31" s="4" t="s">
        <v>44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5" x14ac:dyDescent="0.25">
      <c r="A32" s="5">
        <v>29</v>
      </c>
      <c r="B32" s="6">
        <v>45376</v>
      </c>
      <c r="C32" s="4" t="s">
        <v>44</v>
      </c>
      <c r="D32" s="4" t="s">
        <v>45</v>
      </c>
      <c r="E32" s="4" t="s">
        <v>46</v>
      </c>
      <c r="F32" s="4" t="s">
        <v>51</v>
      </c>
      <c r="G32" s="4" t="s">
        <v>136</v>
      </c>
      <c r="H32" s="4" t="s">
        <v>44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5" x14ac:dyDescent="0.25">
      <c r="A33" s="5">
        <v>30</v>
      </c>
      <c r="B33" s="6">
        <v>45380</v>
      </c>
      <c r="C33" s="4" t="s">
        <v>44</v>
      </c>
      <c r="D33" s="4" t="s">
        <v>45</v>
      </c>
      <c r="E33" s="4" t="s">
        <v>48</v>
      </c>
      <c r="F33" s="4" t="s">
        <v>47</v>
      </c>
      <c r="G33" s="4" t="s">
        <v>136</v>
      </c>
      <c r="H33" s="4" t="s">
        <v>44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5" x14ac:dyDescent="0.25">
      <c r="A34" s="5">
        <v>31</v>
      </c>
      <c r="B34" s="6">
        <v>45334</v>
      </c>
      <c r="C34" s="4" t="s">
        <v>44</v>
      </c>
      <c r="D34" s="4" t="s">
        <v>45</v>
      </c>
      <c r="E34" s="4" t="s">
        <v>48</v>
      </c>
      <c r="F34" s="4" t="s">
        <v>47</v>
      </c>
      <c r="G34" s="4" t="s">
        <v>135</v>
      </c>
      <c r="H34" s="4" t="s">
        <v>44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5" x14ac:dyDescent="0.25">
      <c r="A35" s="5">
        <v>32</v>
      </c>
      <c r="B35" s="6">
        <v>45335</v>
      </c>
      <c r="C35" s="4" t="s">
        <v>44</v>
      </c>
      <c r="D35" s="4" t="s">
        <v>45</v>
      </c>
      <c r="E35" s="4" t="s">
        <v>46</v>
      </c>
      <c r="F35" s="4" t="s">
        <v>47</v>
      </c>
      <c r="G35" s="4" t="s">
        <v>135</v>
      </c>
      <c r="H35" s="4" t="s">
        <v>44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5" x14ac:dyDescent="0.25">
      <c r="A36" s="5">
        <v>33</v>
      </c>
      <c r="B36" s="6">
        <v>45311</v>
      </c>
      <c r="C36" s="4" t="s">
        <v>44</v>
      </c>
      <c r="D36" s="4" t="s">
        <v>45</v>
      </c>
      <c r="E36" s="4" t="s">
        <v>46</v>
      </c>
      <c r="F36" s="4" t="s">
        <v>51</v>
      </c>
      <c r="G36" s="4" t="s">
        <v>136</v>
      </c>
      <c r="H36" s="4" t="s">
        <v>44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5" x14ac:dyDescent="0.25">
      <c r="A37" s="5">
        <v>34</v>
      </c>
      <c r="B37" s="6">
        <v>45323</v>
      </c>
      <c r="C37" s="4" t="s">
        <v>44</v>
      </c>
      <c r="D37" s="4" t="s">
        <v>45</v>
      </c>
      <c r="E37" s="4" t="s">
        <v>46</v>
      </c>
      <c r="F37" s="4" t="s">
        <v>47</v>
      </c>
      <c r="G37" s="4" t="s">
        <v>135</v>
      </c>
      <c r="H37" s="4" t="s">
        <v>44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5" x14ac:dyDescent="0.25">
      <c r="A38" s="5">
        <v>35</v>
      </c>
      <c r="B38" s="6">
        <v>45373</v>
      </c>
      <c r="C38" s="4" t="s">
        <v>44</v>
      </c>
      <c r="D38" s="4" t="s">
        <v>45</v>
      </c>
      <c r="E38" s="4" t="s">
        <v>48</v>
      </c>
      <c r="F38" s="4" t="s">
        <v>49</v>
      </c>
      <c r="G38" s="4" t="s">
        <v>136</v>
      </c>
      <c r="H38" s="4" t="s">
        <v>44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5" x14ac:dyDescent="0.25">
      <c r="A39" s="5">
        <v>36</v>
      </c>
      <c r="B39" s="6">
        <v>45327</v>
      </c>
      <c r="C39" s="6">
        <v>45331</v>
      </c>
      <c r="D39" s="4" t="s">
        <v>50</v>
      </c>
      <c r="E39" s="4" t="s">
        <v>48</v>
      </c>
      <c r="F39" s="4" t="s">
        <v>47</v>
      </c>
      <c r="G39" s="4" t="s">
        <v>136</v>
      </c>
      <c r="H39" s="5">
        <v>96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5" x14ac:dyDescent="0.25">
      <c r="A40" s="5">
        <v>37</v>
      </c>
      <c r="B40" s="6">
        <v>45308</v>
      </c>
      <c r="C40" s="6">
        <v>45312</v>
      </c>
      <c r="D40" s="4" t="s">
        <v>50</v>
      </c>
      <c r="E40" s="4" t="s">
        <v>48</v>
      </c>
      <c r="F40" s="4" t="s">
        <v>47</v>
      </c>
      <c r="G40" s="4" t="s">
        <v>135</v>
      </c>
      <c r="H40" s="5">
        <v>96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5" x14ac:dyDescent="0.25">
      <c r="A41" s="5">
        <v>38</v>
      </c>
      <c r="B41" s="6">
        <v>45302</v>
      </c>
      <c r="C41" s="6">
        <v>45306</v>
      </c>
      <c r="D41" s="4" t="s">
        <v>50</v>
      </c>
      <c r="E41" s="4" t="s">
        <v>46</v>
      </c>
      <c r="F41" s="4" t="s">
        <v>47</v>
      </c>
      <c r="G41" s="4" t="s">
        <v>136</v>
      </c>
      <c r="H41" s="5">
        <v>96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5" x14ac:dyDescent="0.25">
      <c r="A42" s="5">
        <v>39</v>
      </c>
      <c r="B42" s="6">
        <v>45382</v>
      </c>
      <c r="C42" s="6">
        <v>45389</v>
      </c>
      <c r="D42" s="4" t="s">
        <v>50</v>
      </c>
      <c r="E42" s="4" t="s">
        <v>46</v>
      </c>
      <c r="F42" s="4" t="s">
        <v>49</v>
      </c>
      <c r="G42" s="4" t="s">
        <v>136</v>
      </c>
      <c r="H42" s="5">
        <v>168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5" x14ac:dyDescent="0.25">
      <c r="A43" s="5">
        <v>40</v>
      </c>
      <c r="B43" s="6">
        <v>45308</v>
      </c>
      <c r="C43" s="4" t="s">
        <v>44</v>
      </c>
      <c r="D43" s="4" t="s">
        <v>45</v>
      </c>
      <c r="E43" s="4" t="s">
        <v>46</v>
      </c>
      <c r="F43" s="4" t="s">
        <v>47</v>
      </c>
      <c r="G43" s="4" t="s">
        <v>135</v>
      </c>
      <c r="H43" s="4" t="s">
        <v>44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5" x14ac:dyDescent="0.25">
      <c r="A44" s="5">
        <v>41</v>
      </c>
      <c r="B44" s="6">
        <v>45359</v>
      </c>
      <c r="C44" s="4" t="s">
        <v>44</v>
      </c>
      <c r="D44" s="4" t="s">
        <v>45</v>
      </c>
      <c r="E44" s="4" t="s">
        <v>48</v>
      </c>
      <c r="F44" s="4" t="s">
        <v>51</v>
      </c>
      <c r="G44" s="4" t="s">
        <v>136</v>
      </c>
      <c r="H44" s="4" t="s">
        <v>44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5" x14ac:dyDescent="0.25">
      <c r="A45" s="5">
        <v>42</v>
      </c>
      <c r="B45" s="6">
        <v>45356</v>
      </c>
      <c r="C45" s="4" t="s">
        <v>44</v>
      </c>
      <c r="D45" s="4" t="s">
        <v>45</v>
      </c>
      <c r="E45" s="4" t="s">
        <v>46</v>
      </c>
      <c r="F45" s="4" t="s">
        <v>47</v>
      </c>
      <c r="G45" s="4" t="s">
        <v>135</v>
      </c>
      <c r="H45" s="4" t="s">
        <v>44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5" x14ac:dyDescent="0.25">
      <c r="A46" s="5">
        <v>43</v>
      </c>
      <c r="B46" s="6">
        <v>45324</v>
      </c>
      <c r="C46" s="4" t="s">
        <v>44</v>
      </c>
      <c r="D46" s="4" t="s">
        <v>45</v>
      </c>
      <c r="E46" s="4" t="s">
        <v>48</v>
      </c>
      <c r="F46" s="4" t="s">
        <v>47</v>
      </c>
      <c r="G46" s="4" t="s">
        <v>135</v>
      </c>
      <c r="H46" s="4" t="s">
        <v>44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5" x14ac:dyDescent="0.25">
      <c r="A47" s="5">
        <v>44</v>
      </c>
      <c r="B47" s="6">
        <v>45360</v>
      </c>
      <c r="C47" s="7"/>
      <c r="D47" s="4" t="s">
        <v>45</v>
      </c>
      <c r="E47" s="4" t="s">
        <v>46</v>
      </c>
      <c r="F47" s="4" t="s">
        <v>49</v>
      </c>
      <c r="G47" s="4" t="s">
        <v>135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5" x14ac:dyDescent="0.25">
      <c r="A48" s="5">
        <v>45</v>
      </c>
      <c r="B48" s="6">
        <v>45362</v>
      </c>
      <c r="C48" s="4" t="s">
        <v>44</v>
      </c>
      <c r="D48" s="4" t="s">
        <v>45</v>
      </c>
      <c r="E48" s="4" t="s">
        <v>46</v>
      </c>
      <c r="F48" s="4" t="s">
        <v>47</v>
      </c>
      <c r="G48" s="4" t="s">
        <v>135</v>
      </c>
      <c r="H48" s="4" t="s">
        <v>44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5" x14ac:dyDescent="0.25">
      <c r="A49" s="5">
        <v>46</v>
      </c>
      <c r="B49" s="6">
        <v>45310</v>
      </c>
      <c r="C49" s="6">
        <v>45320</v>
      </c>
      <c r="D49" s="4" t="s">
        <v>50</v>
      </c>
      <c r="E49" s="4" t="s">
        <v>46</v>
      </c>
      <c r="F49" s="4" t="s">
        <v>49</v>
      </c>
      <c r="G49" s="4" t="s">
        <v>135</v>
      </c>
      <c r="H49" s="5">
        <v>240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5" x14ac:dyDescent="0.25">
      <c r="A50" s="5">
        <v>47</v>
      </c>
      <c r="B50" s="6">
        <v>45369</v>
      </c>
      <c r="C50" s="4" t="s">
        <v>44</v>
      </c>
      <c r="D50" s="4" t="s">
        <v>45</v>
      </c>
      <c r="E50" s="4" t="s">
        <v>46</v>
      </c>
      <c r="F50" s="4" t="s">
        <v>49</v>
      </c>
      <c r="G50" s="4" t="s">
        <v>135</v>
      </c>
      <c r="H50" s="4" t="s">
        <v>44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5" x14ac:dyDescent="0.25">
      <c r="A51" s="5">
        <v>48</v>
      </c>
      <c r="B51" s="6">
        <v>45299</v>
      </c>
      <c r="C51" s="4" t="s">
        <v>44</v>
      </c>
      <c r="D51" s="4" t="s">
        <v>45</v>
      </c>
      <c r="E51" s="4" t="s">
        <v>48</v>
      </c>
      <c r="F51" s="4" t="s">
        <v>51</v>
      </c>
      <c r="G51" s="4" t="s">
        <v>136</v>
      </c>
      <c r="H51" s="4" t="s">
        <v>44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5" x14ac:dyDescent="0.25">
      <c r="A52" s="5">
        <v>49</v>
      </c>
      <c r="B52" s="6">
        <v>45322</v>
      </c>
      <c r="C52" s="4" t="s">
        <v>44</v>
      </c>
      <c r="D52" s="4" t="s">
        <v>45</v>
      </c>
      <c r="E52" s="4" t="s">
        <v>48</v>
      </c>
      <c r="F52" s="4" t="s">
        <v>51</v>
      </c>
      <c r="G52" s="4" t="s">
        <v>135</v>
      </c>
      <c r="H52" s="4" t="s">
        <v>44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5" x14ac:dyDescent="0.25">
      <c r="A53" s="5">
        <v>50</v>
      </c>
      <c r="B53" s="6">
        <v>45333</v>
      </c>
      <c r="C53" s="6">
        <v>45337</v>
      </c>
      <c r="D53" s="4" t="s">
        <v>50</v>
      </c>
      <c r="E53" s="4" t="s">
        <v>46</v>
      </c>
      <c r="F53" s="4" t="s">
        <v>47</v>
      </c>
      <c r="G53" s="4" t="s">
        <v>135</v>
      </c>
      <c r="H53" s="5">
        <v>96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5" x14ac:dyDescent="0.25">
      <c r="A54" s="5">
        <v>51</v>
      </c>
      <c r="B54" s="6">
        <v>45358</v>
      </c>
      <c r="C54" s="6">
        <v>45359</v>
      </c>
      <c r="D54" s="4" t="s">
        <v>50</v>
      </c>
      <c r="E54" s="4" t="s">
        <v>48</v>
      </c>
      <c r="F54" s="4" t="s">
        <v>51</v>
      </c>
      <c r="G54" s="4" t="s">
        <v>135</v>
      </c>
      <c r="H54" s="5">
        <v>24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5" x14ac:dyDescent="0.25">
      <c r="A55" s="5">
        <v>52</v>
      </c>
      <c r="B55" s="6">
        <v>45318</v>
      </c>
      <c r="C55" s="6">
        <v>45321</v>
      </c>
      <c r="D55" s="4" t="s">
        <v>50</v>
      </c>
      <c r="E55" s="4" t="s">
        <v>48</v>
      </c>
      <c r="F55" s="4" t="s">
        <v>47</v>
      </c>
      <c r="G55" s="4" t="s">
        <v>135</v>
      </c>
      <c r="H55" s="5">
        <v>72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5" x14ac:dyDescent="0.25">
      <c r="A56" s="5">
        <v>53</v>
      </c>
      <c r="B56" s="6">
        <v>45324</v>
      </c>
      <c r="C56" s="4" t="s">
        <v>44</v>
      </c>
      <c r="D56" s="4" t="s">
        <v>45</v>
      </c>
      <c r="E56" s="4" t="s">
        <v>48</v>
      </c>
      <c r="F56" s="4" t="s">
        <v>47</v>
      </c>
      <c r="G56" s="4" t="s">
        <v>136</v>
      </c>
      <c r="H56" s="4" t="s">
        <v>44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5" x14ac:dyDescent="0.25">
      <c r="A57" s="5">
        <v>54</v>
      </c>
      <c r="B57" s="6">
        <v>45303</v>
      </c>
      <c r="C57" s="6">
        <v>45304</v>
      </c>
      <c r="D57" s="4" t="s">
        <v>50</v>
      </c>
      <c r="E57" s="4" t="s">
        <v>48</v>
      </c>
      <c r="F57" s="4" t="s">
        <v>51</v>
      </c>
      <c r="G57" s="4" t="s">
        <v>136</v>
      </c>
      <c r="H57" s="5">
        <v>24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5" x14ac:dyDescent="0.25">
      <c r="A58" s="5">
        <v>55</v>
      </c>
      <c r="B58" s="6">
        <v>45357</v>
      </c>
      <c r="C58" s="4" t="s">
        <v>44</v>
      </c>
      <c r="D58" s="4" t="s">
        <v>45</v>
      </c>
      <c r="E58" s="4" t="s">
        <v>46</v>
      </c>
      <c r="F58" s="4" t="s">
        <v>51</v>
      </c>
      <c r="G58" s="4" t="s">
        <v>136</v>
      </c>
      <c r="H58" s="4" t="s">
        <v>44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5" x14ac:dyDescent="0.25">
      <c r="A59" s="5">
        <v>56</v>
      </c>
      <c r="B59" s="6">
        <v>45308</v>
      </c>
      <c r="C59" s="6">
        <v>45309</v>
      </c>
      <c r="D59" s="4" t="s">
        <v>50</v>
      </c>
      <c r="E59" s="4" t="s">
        <v>46</v>
      </c>
      <c r="F59" s="4" t="s">
        <v>49</v>
      </c>
      <c r="G59" s="4" t="s">
        <v>136</v>
      </c>
      <c r="H59" s="5">
        <v>24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5" x14ac:dyDescent="0.25">
      <c r="A60" s="5">
        <v>57</v>
      </c>
      <c r="B60" s="6">
        <v>45369</v>
      </c>
      <c r="C60" s="6">
        <v>45374</v>
      </c>
      <c r="D60" s="4" t="s">
        <v>50</v>
      </c>
      <c r="E60" s="4" t="s">
        <v>46</v>
      </c>
      <c r="F60" s="4" t="s">
        <v>47</v>
      </c>
      <c r="G60" s="4" t="s">
        <v>136</v>
      </c>
      <c r="H60" s="5">
        <v>120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5" x14ac:dyDescent="0.25">
      <c r="A61" s="5">
        <v>58</v>
      </c>
      <c r="B61" s="6">
        <v>45377</v>
      </c>
      <c r="C61" s="6">
        <v>45382</v>
      </c>
      <c r="D61" s="4" t="s">
        <v>50</v>
      </c>
      <c r="E61" s="4" t="s">
        <v>46</v>
      </c>
      <c r="F61" s="4" t="s">
        <v>47</v>
      </c>
      <c r="G61" s="4" t="s">
        <v>136</v>
      </c>
      <c r="H61" s="5">
        <v>120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5" x14ac:dyDescent="0.25">
      <c r="A62" s="5">
        <v>59</v>
      </c>
      <c r="B62" s="6">
        <v>45374</v>
      </c>
      <c r="C62" s="6">
        <v>45380</v>
      </c>
      <c r="D62" s="4" t="s">
        <v>50</v>
      </c>
      <c r="E62" s="4" t="s">
        <v>48</v>
      </c>
      <c r="F62" s="4" t="s">
        <v>51</v>
      </c>
      <c r="G62" s="4" t="s">
        <v>136</v>
      </c>
      <c r="H62" s="5">
        <v>144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5" x14ac:dyDescent="0.25">
      <c r="A63" s="5">
        <v>60</v>
      </c>
      <c r="B63" s="6">
        <v>45350</v>
      </c>
      <c r="C63" s="4" t="s">
        <v>44</v>
      </c>
      <c r="D63" s="4" t="s">
        <v>45</v>
      </c>
      <c r="E63" s="4" t="s">
        <v>48</v>
      </c>
      <c r="F63" s="4" t="s">
        <v>47</v>
      </c>
      <c r="G63" s="4" t="s">
        <v>135</v>
      </c>
      <c r="H63" s="4" t="s">
        <v>44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 x14ac:dyDescent="0.25">
      <c r="A64" s="5">
        <v>61</v>
      </c>
      <c r="B64" s="6">
        <v>45322</v>
      </c>
      <c r="C64" s="4" t="s">
        <v>44</v>
      </c>
      <c r="D64" s="4" t="s">
        <v>45</v>
      </c>
      <c r="E64" s="4" t="s">
        <v>46</v>
      </c>
      <c r="F64" s="4" t="s">
        <v>51</v>
      </c>
      <c r="G64" s="4" t="s">
        <v>136</v>
      </c>
      <c r="H64" s="4" t="s">
        <v>44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5" x14ac:dyDescent="0.25">
      <c r="A65" s="5">
        <v>62</v>
      </c>
      <c r="B65" s="6">
        <v>45301</v>
      </c>
      <c r="C65" s="6">
        <v>45311</v>
      </c>
      <c r="D65" s="4" t="s">
        <v>50</v>
      </c>
      <c r="E65" s="4" t="s">
        <v>46</v>
      </c>
      <c r="F65" s="4" t="s">
        <v>49</v>
      </c>
      <c r="G65" s="4" t="s">
        <v>135</v>
      </c>
      <c r="H65" s="5">
        <v>240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5" x14ac:dyDescent="0.25">
      <c r="A66" s="5">
        <v>63</v>
      </c>
      <c r="B66" s="6">
        <v>45352</v>
      </c>
      <c r="C66" s="4" t="s">
        <v>44</v>
      </c>
      <c r="D66" s="4" t="s">
        <v>45</v>
      </c>
      <c r="E66" s="4" t="s">
        <v>46</v>
      </c>
      <c r="F66" s="4" t="s">
        <v>47</v>
      </c>
      <c r="G66" s="4" t="s">
        <v>136</v>
      </c>
      <c r="H66" s="4" t="s">
        <v>44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 x14ac:dyDescent="0.25">
      <c r="A67" s="5">
        <v>64</v>
      </c>
      <c r="B67" s="6">
        <v>45347</v>
      </c>
      <c r="C67" s="4" t="s">
        <v>44</v>
      </c>
      <c r="D67" s="4" t="s">
        <v>45</v>
      </c>
      <c r="E67" s="4" t="s">
        <v>46</v>
      </c>
      <c r="F67" s="4" t="s">
        <v>47</v>
      </c>
      <c r="G67" s="4" t="s">
        <v>135</v>
      </c>
      <c r="H67" s="4" t="s">
        <v>44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 x14ac:dyDescent="0.25">
      <c r="A68" s="5">
        <v>65</v>
      </c>
      <c r="B68" s="6">
        <v>45330</v>
      </c>
      <c r="C68" s="6">
        <v>45338</v>
      </c>
      <c r="D68" s="4" t="s">
        <v>50</v>
      </c>
      <c r="E68" s="4" t="s">
        <v>48</v>
      </c>
      <c r="F68" s="4" t="s">
        <v>47</v>
      </c>
      <c r="G68" s="4" t="s">
        <v>136</v>
      </c>
      <c r="H68" s="5">
        <v>192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 x14ac:dyDescent="0.25">
      <c r="A69" s="5">
        <v>66</v>
      </c>
      <c r="B69" s="6">
        <v>45329</v>
      </c>
      <c r="C69" s="4" t="s">
        <v>44</v>
      </c>
      <c r="D69" s="4" t="s">
        <v>45</v>
      </c>
      <c r="E69" s="4" t="s">
        <v>46</v>
      </c>
      <c r="F69" s="4" t="s">
        <v>47</v>
      </c>
      <c r="G69" s="4" t="s">
        <v>136</v>
      </c>
      <c r="H69" s="4" t="s">
        <v>44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 x14ac:dyDescent="0.25">
      <c r="A70" s="5">
        <v>67</v>
      </c>
      <c r="B70" s="6">
        <v>45314</v>
      </c>
      <c r="C70" s="4" t="s">
        <v>44</v>
      </c>
      <c r="D70" s="4" t="s">
        <v>45</v>
      </c>
      <c r="E70" s="4" t="s">
        <v>46</v>
      </c>
      <c r="F70" s="4" t="s">
        <v>51</v>
      </c>
      <c r="G70" s="4" t="s">
        <v>136</v>
      </c>
      <c r="H70" s="4" t="s">
        <v>44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 x14ac:dyDescent="0.25">
      <c r="A71" s="5">
        <v>68</v>
      </c>
      <c r="B71" s="6">
        <v>45319</v>
      </c>
      <c r="C71" s="4" t="s">
        <v>44</v>
      </c>
      <c r="D71" s="4" t="s">
        <v>45</v>
      </c>
      <c r="E71" s="4" t="s">
        <v>46</v>
      </c>
      <c r="F71" s="4" t="s">
        <v>51</v>
      </c>
      <c r="G71" s="4" t="s">
        <v>136</v>
      </c>
      <c r="H71" s="4" t="s">
        <v>44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 x14ac:dyDescent="0.25">
      <c r="A72" s="5">
        <v>69</v>
      </c>
      <c r="B72" s="6">
        <v>45296</v>
      </c>
      <c r="C72" s="4" t="s">
        <v>44</v>
      </c>
      <c r="D72" s="4" t="s">
        <v>45</v>
      </c>
      <c r="E72" s="4" t="s">
        <v>46</v>
      </c>
      <c r="F72" s="4" t="s">
        <v>51</v>
      </c>
      <c r="G72" s="4" t="s">
        <v>136</v>
      </c>
      <c r="H72" s="4" t="s">
        <v>44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 x14ac:dyDescent="0.25">
      <c r="A73" s="5">
        <v>70</v>
      </c>
      <c r="B73" s="6">
        <v>45323</v>
      </c>
      <c r="C73" s="4" t="s">
        <v>44</v>
      </c>
      <c r="D73" s="4" t="s">
        <v>45</v>
      </c>
      <c r="E73" s="4" t="s">
        <v>46</v>
      </c>
      <c r="F73" s="4" t="s">
        <v>49</v>
      </c>
      <c r="G73" s="4" t="s">
        <v>136</v>
      </c>
      <c r="H73" s="4" t="s">
        <v>44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 x14ac:dyDescent="0.25">
      <c r="A74" s="5">
        <v>71</v>
      </c>
      <c r="B74" s="6">
        <v>45335</v>
      </c>
      <c r="C74" s="4" t="s">
        <v>44</v>
      </c>
      <c r="D74" s="4" t="s">
        <v>45</v>
      </c>
      <c r="E74" s="4" t="s">
        <v>46</v>
      </c>
      <c r="F74" s="4" t="s">
        <v>51</v>
      </c>
      <c r="G74" s="4" t="s">
        <v>136</v>
      </c>
      <c r="H74" s="4" t="s">
        <v>44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 x14ac:dyDescent="0.25">
      <c r="A75" s="5">
        <v>72</v>
      </c>
      <c r="B75" s="6">
        <v>45359</v>
      </c>
      <c r="C75" s="6">
        <v>45361</v>
      </c>
      <c r="D75" s="4" t="s">
        <v>50</v>
      </c>
      <c r="E75" s="4" t="s">
        <v>46</v>
      </c>
      <c r="F75" s="4" t="s">
        <v>51</v>
      </c>
      <c r="G75" s="4" t="s">
        <v>135</v>
      </c>
      <c r="H75" s="5">
        <v>48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 x14ac:dyDescent="0.25">
      <c r="A76" s="5">
        <v>73</v>
      </c>
      <c r="B76" s="6">
        <v>45355</v>
      </c>
      <c r="C76" s="4" t="s">
        <v>44</v>
      </c>
      <c r="D76" s="4" t="s">
        <v>45</v>
      </c>
      <c r="E76" s="4" t="s">
        <v>46</v>
      </c>
      <c r="F76" s="4" t="s">
        <v>49</v>
      </c>
      <c r="G76" s="4" t="s">
        <v>136</v>
      </c>
      <c r="H76" s="4" t="s">
        <v>44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5" x14ac:dyDescent="0.25">
      <c r="A77" s="5">
        <v>74</v>
      </c>
      <c r="B77" s="6">
        <v>45336</v>
      </c>
      <c r="C77" s="6">
        <v>45341</v>
      </c>
      <c r="D77" s="4" t="s">
        <v>50</v>
      </c>
      <c r="E77" s="4" t="s">
        <v>48</v>
      </c>
      <c r="F77" s="4" t="s">
        <v>51</v>
      </c>
      <c r="G77" s="4" t="s">
        <v>136</v>
      </c>
      <c r="H77" s="5">
        <v>120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 x14ac:dyDescent="0.25">
      <c r="A78" s="5">
        <v>75</v>
      </c>
      <c r="B78" s="6">
        <v>45352</v>
      </c>
      <c r="C78" s="6">
        <v>45357</v>
      </c>
      <c r="D78" s="4" t="s">
        <v>50</v>
      </c>
      <c r="E78" s="4" t="s">
        <v>46</v>
      </c>
      <c r="F78" s="4" t="s">
        <v>47</v>
      </c>
      <c r="G78" s="4" t="s">
        <v>136</v>
      </c>
      <c r="H78" s="5">
        <v>120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 x14ac:dyDescent="0.25">
      <c r="A79" s="5">
        <v>76</v>
      </c>
      <c r="B79" s="6">
        <v>45304</v>
      </c>
      <c r="C79" s="4" t="s">
        <v>44</v>
      </c>
      <c r="D79" s="4" t="s">
        <v>45</v>
      </c>
      <c r="E79" s="4" t="s">
        <v>46</v>
      </c>
      <c r="F79" s="4" t="s">
        <v>47</v>
      </c>
      <c r="G79" s="4" t="s">
        <v>136</v>
      </c>
      <c r="H79" s="4" t="s">
        <v>44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5" x14ac:dyDescent="0.25">
      <c r="A80" s="5">
        <v>77</v>
      </c>
      <c r="B80" s="6">
        <v>45343</v>
      </c>
      <c r="C80" s="4" t="s">
        <v>44</v>
      </c>
      <c r="D80" s="4" t="s">
        <v>45</v>
      </c>
      <c r="E80" s="4" t="s">
        <v>48</v>
      </c>
      <c r="F80" s="4" t="s">
        <v>47</v>
      </c>
      <c r="G80" s="4" t="s">
        <v>135</v>
      </c>
      <c r="H80" s="4" t="s">
        <v>44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 x14ac:dyDescent="0.25">
      <c r="A81" s="5">
        <v>78</v>
      </c>
      <c r="B81" s="6">
        <v>45372</v>
      </c>
      <c r="C81" s="4" t="s">
        <v>44</v>
      </c>
      <c r="D81" s="4" t="s">
        <v>45</v>
      </c>
      <c r="E81" s="4" t="s">
        <v>48</v>
      </c>
      <c r="F81" s="4" t="s">
        <v>47</v>
      </c>
      <c r="G81" s="4" t="s">
        <v>135</v>
      </c>
      <c r="H81" s="4" t="s">
        <v>44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 x14ac:dyDescent="0.25">
      <c r="A82" s="5">
        <v>79</v>
      </c>
      <c r="B82" s="6">
        <v>45354</v>
      </c>
      <c r="C82" s="6">
        <v>45358</v>
      </c>
      <c r="D82" s="4" t="s">
        <v>50</v>
      </c>
      <c r="E82" s="4" t="s">
        <v>46</v>
      </c>
      <c r="F82" s="4" t="s">
        <v>49</v>
      </c>
      <c r="G82" s="4" t="s">
        <v>136</v>
      </c>
      <c r="H82" s="5">
        <v>96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 x14ac:dyDescent="0.25">
      <c r="A83" s="5">
        <v>80</v>
      </c>
      <c r="B83" s="6">
        <v>45359</v>
      </c>
      <c r="C83" s="6">
        <v>45363</v>
      </c>
      <c r="D83" s="4" t="s">
        <v>50</v>
      </c>
      <c r="E83" s="4" t="s">
        <v>48</v>
      </c>
      <c r="F83" s="4" t="s">
        <v>49</v>
      </c>
      <c r="G83" s="4" t="s">
        <v>135</v>
      </c>
      <c r="H83" s="5">
        <v>96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 x14ac:dyDescent="0.25">
      <c r="A84" s="5">
        <v>81</v>
      </c>
      <c r="B84" s="6">
        <v>45311</v>
      </c>
      <c r="C84" s="4" t="s">
        <v>44</v>
      </c>
      <c r="D84" s="4" t="s">
        <v>45</v>
      </c>
      <c r="E84" s="4" t="s">
        <v>48</v>
      </c>
      <c r="F84" s="4" t="s">
        <v>47</v>
      </c>
      <c r="G84" s="4" t="s">
        <v>136</v>
      </c>
      <c r="H84" s="4" t="s">
        <v>44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 x14ac:dyDescent="0.25">
      <c r="A85" s="5">
        <v>82</v>
      </c>
      <c r="B85" s="6">
        <v>45366</v>
      </c>
      <c r="C85" s="4" t="s">
        <v>44</v>
      </c>
      <c r="D85" s="4" t="s">
        <v>45</v>
      </c>
      <c r="E85" s="4" t="s">
        <v>48</v>
      </c>
      <c r="F85" s="4" t="s">
        <v>47</v>
      </c>
      <c r="G85" s="4" t="s">
        <v>135</v>
      </c>
      <c r="H85" s="4" t="s">
        <v>44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5" x14ac:dyDescent="0.25">
      <c r="A86" s="5">
        <v>83</v>
      </c>
      <c r="B86" s="6">
        <v>45375</v>
      </c>
      <c r="C86" s="6">
        <v>45380</v>
      </c>
      <c r="D86" s="4" t="s">
        <v>50</v>
      </c>
      <c r="E86" s="4" t="s">
        <v>48</v>
      </c>
      <c r="F86" s="4" t="s">
        <v>47</v>
      </c>
      <c r="G86" s="4" t="s">
        <v>136</v>
      </c>
      <c r="H86" s="5">
        <v>120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 x14ac:dyDescent="0.25">
      <c r="A87" s="5">
        <v>84</v>
      </c>
      <c r="B87" s="6">
        <v>45365</v>
      </c>
      <c r="C87" s="6">
        <v>45368</v>
      </c>
      <c r="D87" s="4" t="s">
        <v>50</v>
      </c>
      <c r="E87" s="4" t="s">
        <v>48</v>
      </c>
      <c r="F87" s="4" t="s">
        <v>49</v>
      </c>
      <c r="G87" s="4" t="s">
        <v>135</v>
      </c>
      <c r="H87" s="5">
        <v>72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 x14ac:dyDescent="0.25">
      <c r="A88" s="5">
        <v>85</v>
      </c>
      <c r="B88" s="6">
        <v>45338</v>
      </c>
      <c r="C88" s="4" t="s">
        <v>44</v>
      </c>
      <c r="D88" s="4" t="s">
        <v>45</v>
      </c>
      <c r="E88" s="4" t="s">
        <v>48</v>
      </c>
      <c r="F88" s="4" t="s">
        <v>49</v>
      </c>
      <c r="G88" s="4" t="s">
        <v>136</v>
      </c>
      <c r="H88" s="4" t="s">
        <v>44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 x14ac:dyDescent="0.25">
      <c r="A89" s="5">
        <v>86</v>
      </c>
      <c r="B89" s="6">
        <v>45352</v>
      </c>
      <c r="C89" s="6">
        <v>45359</v>
      </c>
      <c r="D89" s="4" t="s">
        <v>50</v>
      </c>
      <c r="E89" s="4" t="s">
        <v>48</v>
      </c>
      <c r="F89" s="4" t="s">
        <v>49</v>
      </c>
      <c r="G89" s="4" t="s">
        <v>136</v>
      </c>
      <c r="H89" s="5">
        <v>168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5" x14ac:dyDescent="0.25">
      <c r="A90" s="5">
        <v>87</v>
      </c>
      <c r="B90" s="6">
        <v>45353</v>
      </c>
      <c r="C90" s="4" t="s">
        <v>44</v>
      </c>
      <c r="D90" s="4" t="s">
        <v>45</v>
      </c>
      <c r="E90" s="4" t="s">
        <v>46</v>
      </c>
      <c r="F90" s="4" t="s">
        <v>51</v>
      </c>
      <c r="G90" s="4" t="s">
        <v>136</v>
      </c>
      <c r="H90" s="4" t="s">
        <v>44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5" x14ac:dyDescent="0.25">
      <c r="A91" s="5">
        <v>88</v>
      </c>
      <c r="B91" s="6">
        <v>45303</v>
      </c>
      <c r="C91" s="4" t="s">
        <v>44</v>
      </c>
      <c r="D91" s="4" t="s">
        <v>45</v>
      </c>
      <c r="E91" s="4" t="s">
        <v>48</v>
      </c>
      <c r="F91" s="4" t="s">
        <v>47</v>
      </c>
      <c r="G91" s="4" t="s">
        <v>136</v>
      </c>
      <c r="H91" s="4" t="s">
        <v>44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5" x14ac:dyDescent="0.25">
      <c r="A92" s="5">
        <v>89</v>
      </c>
      <c r="B92" s="6">
        <v>45316</v>
      </c>
      <c r="C92" s="6">
        <v>45320</v>
      </c>
      <c r="D92" s="4" t="s">
        <v>50</v>
      </c>
      <c r="E92" s="4" t="s">
        <v>48</v>
      </c>
      <c r="F92" s="4" t="s">
        <v>47</v>
      </c>
      <c r="G92" s="4" t="s">
        <v>135</v>
      </c>
      <c r="H92" s="5">
        <v>96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5" x14ac:dyDescent="0.25">
      <c r="A93" s="5">
        <v>90</v>
      </c>
      <c r="B93" s="6">
        <v>45299</v>
      </c>
      <c r="C93" s="6">
        <v>45303</v>
      </c>
      <c r="D93" s="4" t="s">
        <v>50</v>
      </c>
      <c r="E93" s="4" t="s">
        <v>48</v>
      </c>
      <c r="F93" s="4" t="s">
        <v>47</v>
      </c>
      <c r="G93" s="4" t="s">
        <v>136</v>
      </c>
      <c r="H93" s="5">
        <v>96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5" x14ac:dyDescent="0.25">
      <c r="A94" s="5">
        <v>91</v>
      </c>
      <c r="B94" s="6">
        <v>45314</v>
      </c>
      <c r="C94" s="4" t="s">
        <v>44</v>
      </c>
      <c r="D94" s="4" t="s">
        <v>45</v>
      </c>
      <c r="E94" s="4" t="s">
        <v>46</v>
      </c>
      <c r="F94" s="4" t="s">
        <v>49</v>
      </c>
      <c r="G94" s="4" t="s">
        <v>135</v>
      </c>
      <c r="H94" s="4" t="s">
        <v>44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5" x14ac:dyDescent="0.25">
      <c r="A95" s="5">
        <v>92</v>
      </c>
      <c r="B95" s="6">
        <v>45327</v>
      </c>
      <c r="C95" s="4" t="s">
        <v>44</v>
      </c>
      <c r="D95" s="4" t="s">
        <v>45</v>
      </c>
      <c r="E95" s="4" t="s">
        <v>48</v>
      </c>
      <c r="F95" s="4" t="s">
        <v>51</v>
      </c>
      <c r="G95" s="4" t="s">
        <v>135</v>
      </c>
      <c r="H95" s="4" t="s">
        <v>44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5" x14ac:dyDescent="0.25">
      <c r="A96" s="5">
        <v>93</v>
      </c>
      <c r="B96" s="6">
        <v>45293</v>
      </c>
      <c r="C96" s="4" t="s">
        <v>44</v>
      </c>
      <c r="D96" s="4" t="s">
        <v>45</v>
      </c>
      <c r="E96" s="4" t="s">
        <v>48</v>
      </c>
      <c r="F96" s="4" t="s">
        <v>47</v>
      </c>
      <c r="G96" s="4" t="s">
        <v>135</v>
      </c>
      <c r="H96" s="4" t="s">
        <v>44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5" x14ac:dyDescent="0.25">
      <c r="A97" s="5">
        <v>94</v>
      </c>
      <c r="B97" s="6">
        <v>45359</v>
      </c>
      <c r="C97" s="4" t="s">
        <v>44</v>
      </c>
      <c r="D97" s="4" t="s">
        <v>45</v>
      </c>
      <c r="E97" s="4" t="s">
        <v>48</v>
      </c>
      <c r="F97" s="4" t="s">
        <v>49</v>
      </c>
      <c r="G97" s="4" t="s">
        <v>136</v>
      </c>
      <c r="H97" s="4" t="s">
        <v>44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5" x14ac:dyDescent="0.25">
      <c r="A98" s="5">
        <v>95</v>
      </c>
      <c r="B98" s="6">
        <v>45347</v>
      </c>
      <c r="C98" s="6">
        <v>45356</v>
      </c>
      <c r="D98" s="4" t="s">
        <v>50</v>
      </c>
      <c r="E98" s="4" t="s">
        <v>46</v>
      </c>
      <c r="F98" s="4" t="s">
        <v>47</v>
      </c>
      <c r="G98" s="4" t="s">
        <v>135</v>
      </c>
      <c r="H98" s="5">
        <v>216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5" x14ac:dyDescent="0.25">
      <c r="A99" s="5">
        <v>96</v>
      </c>
      <c r="B99" s="6">
        <v>45344</v>
      </c>
      <c r="C99" s="4" t="s">
        <v>44</v>
      </c>
      <c r="D99" s="4" t="s">
        <v>45</v>
      </c>
      <c r="E99" s="4" t="s">
        <v>46</v>
      </c>
      <c r="F99" s="4" t="s">
        <v>47</v>
      </c>
      <c r="G99" s="4" t="s">
        <v>135</v>
      </c>
      <c r="H99" s="4" t="s">
        <v>44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5" x14ac:dyDescent="0.25">
      <c r="A100" s="5">
        <v>97</v>
      </c>
      <c r="B100" s="6">
        <v>45350</v>
      </c>
      <c r="C100" s="6">
        <v>45352</v>
      </c>
      <c r="D100" s="4" t="s">
        <v>50</v>
      </c>
      <c r="E100" s="4" t="s">
        <v>48</v>
      </c>
      <c r="F100" s="4" t="s">
        <v>51</v>
      </c>
      <c r="G100" s="4" t="s">
        <v>135</v>
      </c>
      <c r="H100" s="5">
        <v>48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5" x14ac:dyDescent="0.25">
      <c r="A101" s="5">
        <v>98</v>
      </c>
      <c r="B101" s="6">
        <v>45341</v>
      </c>
      <c r="C101" s="6">
        <v>45349</v>
      </c>
      <c r="D101" s="4" t="s">
        <v>50</v>
      </c>
      <c r="E101" s="4" t="s">
        <v>46</v>
      </c>
      <c r="F101" s="4" t="s">
        <v>47</v>
      </c>
      <c r="G101" s="4" t="s">
        <v>135</v>
      </c>
      <c r="H101" s="5">
        <v>192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5" x14ac:dyDescent="0.25">
      <c r="A102" s="5">
        <v>99</v>
      </c>
      <c r="B102" s="6">
        <v>45344</v>
      </c>
      <c r="C102" s="4" t="s">
        <v>44</v>
      </c>
      <c r="D102" s="4" t="s">
        <v>45</v>
      </c>
      <c r="E102" s="4" t="s">
        <v>48</v>
      </c>
      <c r="F102" s="4" t="s">
        <v>49</v>
      </c>
      <c r="G102" s="4" t="s">
        <v>135</v>
      </c>
      <c r="H102" s="4" t="s">
        <v>44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5" x14ac:dyDescent="0.25">
      <c r="A103" s="5">
        <v>100</v>
      </c>
      <c r="B103" s="6">
        <v>45359</v>
      </c>
      <c r="C103" s="4" t="s">
        <v>44</v>
      </c>
      <c r="D103" s="4" t="s">
        <v>45</v>
      </c>
      <c r="E103" s="4" t="s">
        <v>48</v>
      </c>
      <c r="F103" s="4" t="s">
        <v>49</v>
      </c>
      <c r="G103" s="4" t="s">
        <v>136</v>
      </c>
      <c r="H103" s="4" t="s">
        <v>44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5" x14ac:dyDescent="0.25">
      <c r="A104" s="5">
        <v>101</v>
      </c>
      <c r="B104" s="6">
        <v>45354</v>
      </c>
      <c r="C104" s="4" t="s">
        <v>44</v>
      </c>
      <c r="D104" s="4" t="s">
        <v>45</v>
      </c>
      <c r="E104" s="4" t="s">
        <v>46</v>
      </c>
      <c r="F104" s="4" t="s">
        <v>47</v>
      </c>
      <c r="G104" s="4" t="s">
        <v>136</v>
      </c>
      <c r="H104" s="4" t="s">
        <v>44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5" x14ac:dyDescent="0.25">
      <c r="A105" s="5">
        <v>102</v>
      </c>
      <c r="B105" s="6">
        <v>45324</v>
      </c>
      <c r="C105" s="4" t="s">
        <v>44</v>
      </c>
      <c r="D105" s="4" t="s">
        <v>45</v>
      </c>
      <c r="E105" s="4" t="s">
        <v>48</v>
      </c>
      <c r="F105" s="4" t="s">
        <v>47</v>
      </c>
      <c r="G105" s="4" t="s">
        <v>135</v>
      </c>
      <c r="H105" s="4" t="s">
        <v>44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5" x14ac:dyDescent="0.25">
      <c r="A106" s="5">
        <v>103</v>
      </c>
      <c r="B106" s="6">
        <v>45294</v>
      </c>
      <c r="C106" s="4" t="s">
        <v>44</v>
      </c>
      <c r="D106" s="4" t="s">
        <v>45</v>
      </c>
      <c r="E106" s="4" t="s">
        <v>46</v>
      </c>
      <c r="F106" s="4" t="s">
        <v>47</v>
      </c>
      <c r="G106" s="4" t="s">
        <v>135</v>
      </c>
      <c r="H106" s="4" t="s">
        <v>44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5" x14ac:dyDescent="0.25">
      <c r="A107" s="5">
        <v>104</v>
      </c>
      <c r="B107" s="6">
        <v>45368</v>
      </c>
      <c r="C107" s="6">
        <v>45374</v>
      </c>
      <c r="D107" s="4" t="s">
        <v>50</v>
      </c>
      <c r="E107" s="4" t="s">
        <v>48</v>
      </c>
      <c r="F107" s="4" t="s">
        <v>49</v>
      </c>
      <c r="G107" s="4" t="s">
        <v>135</v>
      </c>
      <c r="H107" s="5">
        <v>144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5" x14ac:dyDescent="0.25">
      <c r="A108" s="5">
        <v>105</v>
      </c>
      <c r="B108" s="6">
        <v>45379</v>
      </c>
      <c r="C108" s="6">
        <v>45380</v>
      </c>
      <c r="D108" s="4" t="s">
        <v>50</v>
      </c>
      <c r="E108" s="4" t="s">
        <v>46</v>
      </c>
      <c r="F108" s="4" t="s">
        <v>51</v>
      </c>
      <c r="G108" s="4" t="s">
        <v>136</v>
      </c>
      <c r="H108" s="5">
        <v>24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5" x14ac:dyDescent="0.25">
      <c r="A109" s="5">
        <v>106</v>
      </c>
      <c r="B109" s="6">
        <v>45359</v>
      </c>
      <c r="C109" s="4" t="s">
        <v>44</v>
      </c>
      <c r="D109" s="4" t="s">
        <v>45</v>
      </c>
      <c r="E109" s="4" t="s">
        <v>46</v>
      </c>
      <c r="F109" s="4" t="s">
        <v>47</v>
      </c>
      <c r="G109" s="4" t="s">
        <v>136</v>
      </c>
      <c r="H109" s="4" t="s">
        <v>44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5" x14ac:dyDescent="0.25">
      <c r="A110" s="5">
        <v>107</v>
      </c>
      <c r="B110" s="6">
        <v>45369</v>
      </c>
      <c r="C110" s="4" t="s">
        <v>44</v>
      </c>
      <c r="D110" s="4" t="s">
        <v>45</v>
      </c>
      <c r="E110" s="4" t="s">
        <v>46</v>
      </c>
      <c r="F110" s="4" t="s">
        <v>47</v>
      </c>
      <c r="G110" s="4" t="s">
        <v>135</v>
      </c>
      <c r="H110" s="4" t="s">
        <v>44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5" x14ac:dyDescent="0.25">
      <c r="A111" s="5">
        <v>108</v>
      </c>
      <c r="B111" s="6">
        <v>45336</v>
      </c>
      <c r="C111" s="6">
        <v>45343</v>
      </c>
      <c r="D111" s="4" t="s">
        <v>50</v>
      </c>
      <c r="E111" s="4" t="s">
        <v>46</v>
      </c>
      <c r="F111" s="4" t="s">
        <v>49</v>
      </c>
      <c r="G111" s="4" t="s">
        <v>136</v>
      </c>
      <c r="H111" s="5">
        <v>168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5" x14ac:dyDescent="0.25">
      <c r="A112" s="5">
        <v>109</v>
      </c>
      <c r="B112" s="6">
        <v>45304</v>
      </c>
      <c r="C112" s="4" t="s">
        <v>44</v>
      </c>
      <c r="D112" s="4" t="s">
        <v>45</v>
      </c>
      <c r="E112" s="4" t="s">
        <v>46</v>
      </c>
      <c r="F112" s="4" t="s">
        <v>49</v>
      </c>
      <c r="G112" s="4" t="s">
        <v>135</v>
      </c>
      <c r="H112" s="4" t="s">
        <v>44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5" x14ac:dyDescent="0.25">
      <c r="A113" s="5">
        <v>110</v>
      </c>
      <c r="B113" s="6">
        <v>45302</v>
      </c>
      <c r="C113" s="6">
        <v>45303</v>
      </c>
      <c r="D113" s="4" t="s">
        <v>50</v>
      </c>
      <c r="E113" s="4" t="s">
        <v>48</v>
      </c>
      <c r="F113" s="4" t="s">
        <v>51</v>
      </c>
      <c r="G113" s="4" t="s">
        <v>136</v>
      </c>
      <c r="H113" s="5">
        <v>24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5" x14ac:dyDescent="0.25">
      <c r="A114" s="5">
        <v>111</v>
      </c>
      <c r="B114" s="6">
        <v>45334</v>
      </c>
      <c r="C114" s="6">
        <v>45339</v>
      </c>
      <c r="D114" s="4" t="s">
        <v>50</v>
      </c>
      <c r="E114" s="4" t="s">
        <v>46</v>
      </c>
      <c r="F114" s="4" t="s">
        <v>49</v>
      </c>
      <c r="G114" s="4" t="s">
        <v>136</v>
      </c>
      <c r="H114" s="5">
        <v>120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5" x14ac:dyDescent="0.25">
      <c r="A115" s="5">
        <v>112</v>
      </c>
      <c r="B115" s="6">
        <v>45341</v>
      </c>
      <c r="C115" s="4" t="s">
        <v>44</v>
      </c>
      <c r="D115" s="4" t="s">
        <v>45</v>
      </c>
      <c r="E115" s="4" t="s">
        <v>48</v>
      </c>
      <c r="F115" s="4" t="s">
        <v>47</v>
      </c>
      <c r="G115" s="4" t="s">
        <v>136</v>
      </c>
      <c r="H115" s="4" t="s">
        <v>44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5" x14ac:dyDescent="0.25">
      <c r="A116" s="5">
        <v>113</v>
      </c>
      <c r="B116" s="6">
        <v>45358</v>
      </c>
      <c r="C116" s="4" t="s">
        <v>44</v>
      </c>
      <c r="D116" s="4" t="s">
        <v>45</v>
      </c>
      <c r="E116" s="4" t="s">
        <v>48</v>
      </c>
      <c r="F116" s="4" t="s">
        <v>51</v>
      </c>
      <c r="G116" s="4" t="s">
        <v>136</v>
      </c>
      <c r="H116" s="4" t="s">
        <v>44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5" x14ac:dyDescent="0.25">
      <c r="A117" s="5">
        <v>114</v>
      </c>
      <c r="B117" s="6">
        <v>45379</v>
      </c>
      <c r="C117" s="4" t="s">
        <v>44</v>
      </c>
      <c r="D117" s="4" t="s">
        <v>45</v>
      </c>
      <c r="E117" s="4" t="s">
        <v>46</v>
      </c>
      <c r="F117" s="4" t="s">
        <v>47</v>
      </c>
      <c r="G117" s="4" t="s">
        <v>135</v>
      </c>
      <c r="H117" s="4" t="s">
        <v>44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5" x14ac:dyDescent="0.25">
      <c r="A118" s="5">
        <v>115</v>
      </c>
      <c r="B118" s="6">
        <v>45327</v>
      </c>
      <c r="C118" s="4" t="s">
        <v>44</v>
      </c>
      <c r="D118" s="4" t="s">
        <v>45</v>
      </c>
      <c r="E118" s="4" t="s">
        <v>48</v>
      </c>
      <c r="F118" s="4" t="s">
        <v>51</v>
      </c>
      <c r="G118" s="4" t="s">
        <v>135</v>
      </c>
      <c r="H118" s="4" t="s">
        <v>44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5" x14ac:dyDescent="0.25">
      <c r="A119" s="5">
        <v>116</v>
      </c>
      <c r="B119" s="6">
        <v>45352</v>
      </c>
      <c r="C119" s="4" t="s">
        <v>44</v>
      </c>
      <c r="D119" s="4" t="s">
        <v>45</v>
      </c>
      <c r="E119" s="4" t="s">
        <v>46</v>
      </c>
      <c r="F119" s="4" t="s">
        <v>49</v>
      </c>
      <c r="G119" s="4" t="s">
        <v>135</v>
      </c>
      <c r="H119" s="4" t="s">
        <v>44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5" x14ac:dyDescent="0.25">
      <c r="A120" s="5">
        <v>117</v>
      </c>
      <c r="B120" s="6">
        <v>45341</v>
      </c>
      <c r="C120" s="4" t="s">
        <v>44</v>
      </c>
      <c r="D120" s="4" t="s">
        <v>45</v>
      </c>
      <c r="E120" s="4" t="s">
        <v>46</v>
      </c>
      <c r="F120" s="4" t="s">
        <v>51</v>
      </c>
      <c r="G120" s="4" t="s">
        <v>135</v>
      </c>
      <c r="H120" s="4" t="s">
        <v>44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5" x14ac:dyDescent="0.25">
      <c r="A121" s="5">
        <v>118</v>
      </c>
      <c r="B121" s="6">
        <v>45347</v>
      </c>
      <c r="C121" s="4" t="s">
        <v>44</v>
      </c>
      <c r="D121" s="4" t="s">
        <v>45</v>
      </c>
      <c r="E121" s="4" t="s">
        <v>48</v>
      </c>
      <c r="F121" s="4" t="s">
        <v>49</v>
      </c>
      <c r="G121" s="4" t="s">
        <v>135</v>
      </c>
      <c r="H121" s="4" t="s">
        <v>44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5" x14ac:dyDescent="0.25">
      <c r="A122" s="5">
        <v>119</v>
      </c>
      <c r="B122" s="6">
        <v>45313</v>
      </c>
      <c r="C122" s="4" t="s">
        <v>44</v>
      </c>
      <c r="D122" s="4" t="s">
        <v>45</v>
      </c>
      <c r="E122" s="4" t="s">
        <v>48</v>
      </c>
      <c r="F122" s="4" t="s">
        <v>47</v>
      </c>
      <c r="G122" s="4" t="s">
        <v>135</v>
      </c>
      <c r="H122" s="4" t="s">
        <v>44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5" x14ac:dyDescent="0.25">
      <c r="A123" s="5">
        <v>120</v>
      </c>
      <c r="B123" s="6">
        <v>45321</v>
      </c>
      <c r="C123" s="4" t="s">
        <v>44</v>
      </c>
      <c r="D123" s="4" t="s">
        <v>45</v>
      </c>
      <c r="E123" s="4" t="s">
        <v>48</v>
      </c>
      <c r="F123" s="4" t="s">
        <v>47</v>
      </c>
      <c r="G123" s="4" t="s">
        <v>136</v>
      </c>
      <c r="H123" s="4" t="s">
        <v>44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5" x14ac:dyDescent="0.25">
      <c r="A124" s="5">
        <v>121</v>
      </c>
      <c r="B124" s="6">
        <v>45313</v>
      </c>
      <c r="C124" s="4" t="s">
        <v>44</v>
      </c>
      <c r="D124" s="4" t="s">
        <v>45</v>
      </c>
      <c r="E124" s="4" t="s">
        <v>46</v>
      </c>
      <c r="F124" s="4" t="s">
        <v>47</v>
      </c>
      <c r="G124" s="4" t="s">
        <v>136</v>
      </c>
      <c r="H124" s="4" t="s">
        <v>44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5" x14ac:dyDescent="0.25">
      <c r="A125" s="5">
        <v>122</v>
      </c>
      <c r="B125" s="6">
        <v>45357</v>
      </c>
      <c r="C125" s="4" t="s">
        <v>44</v>
      </c>
      <c r="D125" s="4" t="s">
        <v>45</v>
      </c>
      <c r="E125" s="4" t="s">
        <v>48</v>
      </c>
      <c r="F125" s="4" t="s">
        <v>49</v>
      </c>
      <c r="G125" s="4" t="s">
        <v>136</v>
      </c>
      <c r="H125" s="4" t="s">
        <v>44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5" x14ac:dyDescent="0.25">
      <c r="A126" s="5">
        <v>123</v>
      </c>
      <c r="B126" s="6">
        <v>45306</v>
      </c>
      <c r="C126" s="4" t="s">
        <v>44</v>
      </c>
      <c r="D126" s="4" t="s">
        <v>45</v>
      </c>
      <c r="E126" s="4" t="s">
        <v>46</v>
      </c>
      <c r="F126" s="4" t="s">
        <v>47</v>
      </c>
      <c r="G126" s="4" t="s">
        <v>136</v>
      </c>
      <c r="H126" s="4" t="s">
        <v>44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5" x14ac:dyDescent="0.25">
      <c r="A127" s="5">
        <v>124</v>
      </c>
      <c r="B127" s="6">
        <v>45331</v>
      </c>
      <c r="C127" s="4" t="s">
        <v>44</v>
      </c>
      <c r="D127" s="4" t="s">
        <v>45</v>
      </c>
      <c r="E127" s="4" t="s">
        <v>46</v>
      </c>
      <c r="F127" s="4" t="s">
        <v>47</v>
      </c>
      <c r="G127" s="4" t="s">
        <v>135</v>
      </c>
      <c r="H127" s="4" t="s">
        <v>44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5" x14ac:dyDescent="0.25">
      <c r="A128" s="5">
        <v>125</v>
      </c>
      <c r="B128" s="6">
        <v>45316</v>
      </c>
      <c r="C128" s="4" t="s">
        <v>44</v>
      </c>
      <c r="D128" s="4" t="s">
        <v>45</v>
      </c>
      <c r="E128" s="4" t="s">
        <v>48</v>
      </c>
      <c r="F128" s="4" t="s">
        <v>49</v>
      </c>
      <c r="G128" s="4" t="s">
        <v>135</v>
      </c>
      <c r="H128" s="4" t="s">
        <v>44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5" x14ac:dyDescent="0.25">
      <c r="A129" s="5">
        <v>126</v>
      </c>
      <c r="B129" s="6">
        <v>45305</v>
      </c>
      <c r="C129" s="6">
        <v>45313</v>
      </c>
      <c r="D129" s="4" t="s">
        <v>50</v>
      </c>
      <c r="E129" s="4" t="s">
        <v>48</v>
      </c>
      <c r="F129" s="4" t="s">
        <v>47</v>
      </c>
      <c r="G129" s="4" t="s">
        <v>136</v>
      </c>
      <c r="H129" s="5">
        <v>192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5" x14ac:dyDescent="0.25">
      <c r="A130" s="5">
        <v>127</v>
      </c>
      <c r="B130" s="6">
        <v>45319</v>
      </c>
      <c r="C130" s="4" t="s">
        <v>44</v>
      </c>
      <c r="D130" s="4" t="s">
        <v>45</v>
      </c>
      <c r="E130" s="4" t="s">
        <v>46</v>
      </c>
      <c r="F130" s="4" t="s">
        <v>47</v>
      </c>
      <c r="G130" s="4" t="s">
        <v>135</v>
      </c>
      <c r="H130" s="4" t="s">
        <v>44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5" x14ac:dyDescent="0.25">
      <c r="A131" s="5">
        <v>128</v>
      </c>
      <c r="B131" s="6">
        <v>45330</v>
      </c>
      <c r="C131" s="4" t="s">
        <v>44</v>
      </c>
      <c r="D131" s="4" t="s">
        <v>45</v>
      </c>
      <c r="E131" s="4" t="s">
        <v>46</v>
      </c>
      <c r="F131" s="4" t="s">
        <v>47</v>
      </c>
      <c r="G131" s="4" t="s">
        <v>135</v>
      </c>
      <c r="H131" s="4" t="s">
        <v>44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5" x14ac:dyDescent="0.25">
      <c r="A132" s="5">
        <v>129</v>
      </c>
      <c r="B132" s="6">
        <v>45362</v>
      </c>
      <c r="C132" s="4" t="s">
        <v>44</v>
      </c>
      <c r="D132" s="4" t="s">
        <v>45</v>
      </c>
      <c r="E132" s="4" t="s">
        <v>46</v>
      </c>
      <c r="F132" s="4" t="s">
        <v>47</v>
      </c>
      <c r="G132" s="4" t="s">
        <v>136</v>
      </c>
      <c r="H132" s="4" t="s">
        <v>44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5" x14ac:dyDescent="0.25">
      <c r="A133" s="5">
        <v>130</v>
      </c>
      <c r="B133" s="6">
        <v>45310</v>
      </c>
      <c r="C133" s="6">
        <v>45315</v>
      </c>
      <c r="D133" s="4" t="s">
        <v>50</v>
      </c>
      <c r="E133" s="4" t="s">
        <v>48</v>
      </c>
      <c r="F133" s="4" t="s">
        <v>47</v>
      </c>
      <c r="G133" s="4" t="s">
        <v>135</v>
      </c>
      <c r="H133" s="5">
        <v>120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5" x14ac:dyDescent="0.25">
      <c r="A134" s="5">
        <v>131</v>
      </c>
      <c r="B134" s="6">
        <v>45328</v>
      </c>
      <c r="C134" s="6">
        <v>45335</v>
      </c>
      <c r="D134" s="4" t="s">
        <v>50</v>
      </c>
      <c r="E134" s="4" t="s">
        <v>46</v>
      </c>
      <c r="F134" s="4" t="s">
        <v>47</v>
      </c>
      <c r="G134" s="4" t="s">
        <v>136</v>
      </c>
      <c r="H134" s="5">
        <v>168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5" x14ac:dyDescent="0.25">
      <c r="A135" s="5">
        <v>132</v>
      </c>
      <c r="B135" s="6">
        <v>45323</v>
      </c>
      <c r="C135" s="4" t="s">
        <v>44</v>
      </c>
      <c r="D135" s="4" t="s">
        <v>45</v>
      </c>
      <c r="E135" s="4" t="s">
        <v>46</v>
      </c>
      <c r="F135" s="4" t="s">
        <v>51</v>
      </c>
      <c r="G135" s="4" t="s">
        <v>135</v>
      </c>
      <c r="H135" s="4" t="s">
        <v>44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5" x14ac:dyDescent="0.25">
      <c r="A136" s="5">
        <v>133</v>
      </c>
      <c r="B136" s="6">
        <v>45327</v>
      </c>
      <c r="C136" s="6">
        <v>45331</v>
      </c>
      <c r="D136" s="4" t="s">
        <v>50</v>
      </c>
      <c r="E136" s="4" t="s">
        <v>46</v>
      </c>
      <c r="F136" s="4" t="s">
        <v>49</v>
      </c>
      <c r="G136" s="4" t="s">
        <v>135</v>
      </c>
      <c r="H136" s="5">
        <v>96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5" x14ac:dyDescent="0.25">
      <c r="A137" s="5">
        <v>134</v>
      </c>
      <c r="B137" s="6">
        <v>45340</v>
      </c>
      <c r="C137" s="6">
        <v>45348</v>
      </c>
      <c r="D137" s="4" t="s">
        <v>50</v>
      </c>
      <c r="E137" s="4" t="s">
        <v>48</v>
      </c>
      <c r="F137" s="4" t="s">
        <v>51</v>
      </c>
      <c r="G137" s="4" t="s">
        <v>135</v>
      </c>
      <c r="H137" s="5">
        <v>192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5" x14ac:dyDescent="0.25">
      <c r="A138" s="5">
        <v>135</v>
      </c>
      <c r="B138" s="6">
        <v>45295</v>
      </c>
      <c r="C138" s="6">
        <v>45303</v>
      </c>
      <c r="D138" s="4" t="s">
        <v>50</v>
      </c>
      <c r="E138" s="4" t="s">
        <v>46</v>
      </c>
      <c r="F138" s="4" t="s">
        <v>47</v>
      </c>
      <c r="G138" s="4" t="s">
        <v>136</v>
      </c>
      <c r="H138" s="5">
        <v>192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5" x14ac:dyDescent="0.25">
      <c r="A139" s="5">
        <v>136</v>
      </c>
      <c r="B139" s="6">
        <v>45373</v>
      </c>
      <c r="C139" s="6">
        <v>45375</v>
      </c>
      <c r="D139" s="4" t="s">
        <v>50</v>
      </c>
      <c r="E139" s="4" t="s">
        <v>48</v>
      </c>
      <c r="F139" s="4" t="s">
        <v>51</v>
      </c>
      <c r="G139" s="4" t="s">
        <v>135</v>
      </c>
      <c r="H139" s="5">
        <v>48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5" x14ac:dyDescent="0.25">
      <c r="A140" s="5">
        <v>137</v>
      </c>
      <c r="B140" s="6">
        <v>45292</v>
      </c>
      <c r="C140" s="6">
        <v>45297</v>
      </c>
      <c r="D140" s="4" t="s">
        <v>50</v>
      </c>
      <c r="E140" s="4" t="s">
        <v>46</v>
      </c>
      <c r="F140" s="4" t="s">
        <v>47</v>
      </c>
      <c r="G140" s="4" t="s">
        <v>136</v>
      </c>
      <c r="H140" s="5">
        <v>120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5" x14ac:dyDescent="0.25">
      <c r="A141" s="5">
        <v>138</v>
      </c>
      <c r="B141" s="6">
        <v>45345</v>
      </c>
      <c r="C141" s="4" t="s">
        <v>44</v>
      </c>
      <c r="D141" s="4" t="s">
        <v>45</v>
      </c>
      <c r="E141" s="4" t="s">
        <v>46</v>
      </c>
      <c r="F141" s="4" t="s">
        <v>47</v>
      </c>
      <c r="G141" s="4" t="s">
        <v>136</v>
      </c>
      <c r="H141" s="4" t="s">
        <v>44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5" x14ac:dyDescent="0.25">
      <c r="A142" s="5">
        <v>139</v>
      </c>
      <c r="B142" s="6">
        <v>45305</v>
      </c>
      <c r="C142" s="6">
        <v>45306</v>
      </c>
      <c r="D142" s="4" t="s">
        <v>50</v>
      </c>
      <c r="E142" s="4" t="s">
        <v>46</v>
      </c>
      <c r="F142" s="4" t="s">
        <v>47</v>
      </c>
      <c r="G142" s="4" t="s">
        <v>136</v>
      </c>
      <c r="H142" s="5">
        <v>24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5" x14ac:dyDescent="0.25">
      <c r="A143" s="5">
        <v>140</v>
      </c>
      <c r="B143" s="6">
        <v>45298</v>
      </c>
      <c r="C143" s="4" t="s">
        <v>44</v>
      </c>
      <c r="D143" s="4" t="s">
        <v>45</v>
      </c>
      <c r="E143" s="4" t="s">
        <v>46</v>
      </c>
      <c r="F143" s="4" t="s">
        <v>51</v>
      </c>
      <c r="G143" s="4" t="s">
        <v>136</v>
      </c>
      <c r="H143" s="4" t="s">
        <v>44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5" x14ac:dyDescent="0.25">
      <c r="A144" s="5">
        <v>141</v>
      </c>
      <c r="B144" s="6">
        <v>45371</v>
      </c>
      <c r="C144" s="4" t="s">
        <v>44</v>
      </c>
      <c r="D144" s="4" t="s">
        <v>45</v>
      </c>
      <c r="E144" s="4" t="s">
        <v>48</v>
      </c>
      <c r="F144" s="4" t="s">
        <v>47</v>
      </c>
      <c r="G144" s="4" t="s">
        <v>136</v>
      </c>
      <c r="H144" s="4" t="s">
        <v>44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5" x14ac:dyDescent="0.25">
      <c r="A145" s="5">
        <v>142</v>
      </c>
      <c r="B145" s="6">
        <v>45374</v>
      </c>
      <c r="C145" s="4" t="s">
        <v>44</v>
      </c>
      <c r="D145" s="4" t="s">
        <v>45</v>
      </c>
      <c r="E145" s="4" t="s">
        <v>46</v>
      </c>
      <c r="F145" s="4" t="s">
        <v>49</v>
      </c>
      <c r="G145" s="4" t="s">
        <v>135</v>
      </c>
      <c r="H145" s="4" t="s">
        <v>44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5" x14ac:dyDescent="0.25">
      <c r="A146" s="5">
        <v>143</v>
      </c>
      <c r="B146" s="6">
        <v>45303</v>
      </c>
      <c r="C146" s="6">
        <v>45313</v>
      </c>
      <c r="D146" s="4" t="s">
        <v>50</v>
      </c>
      <c r="E146" s="4" t="s">
        <v>46</v>
      </c>
      <c r="F146" s="4" t="s">
        <v>47</v>
      </c>
      <c r="G146" s="4" t="s">
        <v>136</v>
      </c>
      <c r="H146" s="5">
        <v>240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5" x14ac:dyDescent="0.25">
      <c r="A147" s="5">
        <v>144</v>
      </c>
      <c r="B147" s="6">
        <v>45370</v>
      </c>
      <c r="C147" s="4" t="s">
        <v>44</v>
      </c>
      <c r="D147" s="4" t="s">
        <v>45</v>
      </c>
      <c r="E147" s="4" t="s">
        <v>46</v>
      </c>
      <c r="F147" s="4" t="s">
        <v>47</v>
      </c>
      <c r="G147" s="4" t="s">
        <v>136</v>
      </c>
      <c r="H147" s="4" t="s">
        <v>44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5" x14ac:dyDescent="0.25">
      <c r="A148" s="5">
        <v>145</v>
      </c>
      <c r="B148" s="6">
        <v>45326</v>
      </c>
      <c r="C148" s="6">
        <v>45329</v>
      </c>
      <c r="D148" s="4" t="s">
        <v>50</v>
      </c>
      <c r="E148" s="4" t="s">
        <v>48</v>
      </c>
      <c r="F148" s="4" t="s">
        <v>49</v>
      </c>
      <c r="G148" s="4" t="s">
        <v>136</v>
      </c>
      <c r="H148" s="5">
        <v>72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5" x14ac:dyDescent="0.25">
      <c r="A149" s="5">
        <v>146</v>
      </c>
      <c r="B149" s="6">
        <v>45350</v>
      </c>
      <c r="C149" s="4" t="s">
        <v>44</v>
      </c>
      <c r="D149" s="4" t="s">
        <v>45</v>
      </c>
      <c r="E149" s="4" t="s">
        <v>48</v>
      </c>
      <c r="F149" s="4" t="s">
        <v>47</v>
      </c>
      <c r="G149" s="4" t="s">
        <v>136</v>
      </c>
      <c r="H149" s="4" t="s">
        <v>44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5" x14ac:dyDescent="0.25">
      <c r="A150" s="5">
        <v>147</v>
      </c>
      <c r="B150" s="6">
        <v>45316</v>
      </c>
      <c r="C150" s="6">
        <v>45324</v>
      </c>
      <c r="D150" s="4" t="s">
        <v>50</v>
      </c>
      <c r="E150" s="4" t="s">
        <v>46</v>
      </c>
      <c r="F150" s="4" t="s">
        <v>47</v>
      </c>
      <c r="G150" s="4" t="s">
        <v>135</v>
      </c>
      <c r="H150" s="5">
        <v>192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5" x14ac:dyDescent="0.25">
      <c r="A151" s="5">
        <v>148</v>
      </c>
      <c r="B151" s="6">
        <v>45349</v>
      </c>
      <c r="C151" s="4" t="s">
        <v>44</v>
      </c>
      <c r="D151" s="4" t="s">
        <v>45</v>
      </c>
      <c r="E151" s="4" t="s">
        <v>46</v>
      </c>
      <c r="F151" s="4" t="s">
        <v>47</v>
      </c>
      <c r="G151" s="4" t="s">
        <v>136</v>
      </c>
      <c r="H151" s="4" t="s">
        <v>44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5" x14ac:dyDescent="0.25">
      <c r="A152" s="5">
        <v>149</v>
      </c>
      <c r="B152" s="6">
        <v>45347</v>
      </c>
      <c r="C152" s="6">
        <v>45357</v>
      </c>
      <c r="D152" s="4" t="s">
        <v>50</v>
      </c>
      <c r="E152" s="4" t="s">
        <v>46</v>
      </c>
      <c r="F152" s="4" t="s">
        <v>51</v>
      </c>
      <c r="G152" s="4" t="s">
        <v>135</v>
      </c>
      <c r="H152" s="5">
        <v>240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5" x14ac:dyDescent="0.25">
      <c r="A153" s="5">
        <v>150</v>
      </c>
      <c r="B153" s="6">
        <v>45312</v>
      </c>
      <c r="C153" s="4" t="s">
        <v>44</v>
      </c>
      <c r="D153" s="4" t="s">
        <v>45</v>
      </c>
      <c r="E153" s="4" t="s">
        <v>46</v>
      </c>
      <c r="F153" s="4" t="s">
        <v>51</v>
      </c>
      <c r="G153" s="4" t="s">
        <v>136</v>
      </c>
      <c r="H153" s="4" t="s">
        <v>44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5" x14ac:dyDescent="0.25">
      <c r="A154" s="5">
        <v>151</v>
      </c>
      <c r="B154" s="6">
        <v>45377</v>
      </c>
      <c r="C154" s="4" t="s">
        <v>44</v>
      </c>
      <c r="D154" s="4" t="s">
        <v>45</v>
      </c>
      <c r="E154" s="4" t="s">
        <v>46</v>
      </c>
      <c r="F154" s="4" t="s">
        <v>47</v>
      </c>
      <c r="G154" s="4" t="s">
        <v>135</v>
      </c>
      <c r="H154" s="4" t="s">
        <v>44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5" x14ac:dyDescent="0.25">
      <c r="A155" s="5">
        <v>152</v>
      </c>
      <c r="B155" s="6">
        <v>45341</v>
      </c>
      <c r="C155" s="4" t="s">
        <v>44</v>
      </c>
      <c r="D155" s="4" t="s">
        <v>45</v>
      </c>
      <c r="E155" s="4" t="s">
        <v>48</v>
      </c>
      <c r="F155" s="4" t="s">
        <v>49</v>
      </c>
      <c r="G155" s="4" t="s">
        <v>135</v>
      </c>
      <c r="H155" s="4" t="s">
        <v>44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5" x14ac:dyDescent="0.25">
      <c r="A156" s="5">
        <v>153</v>
      </c>
      <c r="B156" s="6">
        <v>45377</v>
      </c>
      <c r="C156" s="4" t="s">
        <v>44</v>
      </c>
      <c r="D156" s="4" t="s">
        <v>45</v>
      </c>
      <c r="E156" s="4" t="s">
        <v>48</v>
      </c>
      <c r="F156" s="4" t="s">
        <v>49</v>
      </c>
      <c r="G156" s="4" t="s">
        <v>135</v>
      </c>
      <c r="H156" s="4" t="s">
        <v>44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5" x14ac:dyDescent="0.25">
      <c r="A157" s="5">
        <v>154</v>
      </c>
      <c r="B157" s="6">
        <v>45370</v>
      </c>
      <c r="C157" s="6">
        <v>45371</v>
      </c>
      <c r="D157" s="4" t="s">
        <v>50</v>
      </c>
      <c r="E157" s="4" t="s">
        <v>48</v>
      </c>
      <c r="F157" s="4" t="s">
        <v>51</v>
      </c>
      <c r="G157" s="4" t="s">
        <v>136</v>
      </c>
      <c r="H157" s="5">
        <v>24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5" x14ac:dyDescent="0.25">
      <c r="A158" s="5">
        <v>155</v>
      </c>
      <c r="B158" s="6">
        <v>45325</v>
      </c>
      <c r="C158" s="4" t="s">
        <v>44</v>
      </c>
      <c r="D158" s="4" t="s">
        <v>45</v>
      </c>
      <c r="E158" s="4" t="s">
        <v>48</v>
      </c>
      <c r="F158" s="4" t="s">
        <v>49</v>
      </c>
      <c r="G158" s="4" t="s">
        <v>136</v>
      </c>
      <c r="H158" s="4" t="s">
        <v>44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5" x14ac:dyDescent="0.25">
      <c r="A159" s="5">
        <v>156</v>
      </c>
      <c r="B159" s="6">
        <v>45332</v>
      </c>
      <c r="C159" s="4" t="s">
        <v>44</v>
      </c>
      <c r="D159" s="4" t="s">
        <v>45</v>
      </c>
      <c r="E159" s="4" t="s">
        <v>46</v>
      </c>
      <c r="F159" s="4" t="s">
        <v>47</v>
      </c>
      <c r="G159" s="4" t="s">
        <v>135</v>
      </c>
      <c r="H159" s="4" t="s">
        <v>44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5" x14ac:dyDescent="0.25">
      <c r="A160" s="5">
        <v>157</v>
      </c>
      <c r="B160" s="6">
        <v>45335</v>
      </c>
      <c r="C160" s="6">
        <v>45343</v>
      </c>
      <c r="D160" s="4" t="s">
        <v>50</v>
      </c>
      <c r="E160" s="4" t="s">
        <v>46</v>
      </c>
      <c r="F160" s="4" t="s">
        <v>47</v>
      </c>
      <c r="G160" s="4" t="s">
        <v>135</v>
      </c>
      <c r="H160" s="5">
        <v>192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5" x14ac:dyDescent="0.25">
      <c r="A161" s="5">
        <v>158</v>
      </c>
      <c r="B161" s="6">
        <v>45370</v>
      </c>
      <c r="C161" s="4" t="s">
        <v>44</v>
      </c>
      <c r="D161" s="4" t="s">
        <v>45</v>
      </c>
      <c r="E161" s="4" t="s">
        <v>46</v>
      </c>
      <c r="F161" s="4" t="s">
        <v>49</v>
      </c>
      <c r="G161" s="4" t="s">
        <v>135</v>
      </c>
      <c r="H161" s="4" t="s">
        <v>44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5" x14ac:dyDescent="0.25">
      <c r="A162" s="5">
        <v>159</v>
      </c>
      <c r="B162" s="6">
        <v>45302</v>
      </c>
      <c r="C162" s="4" t="s">
        <v>44</v>
      </c>
      <c r="D162" s="4" t="s">
        <v>45</v>
      </c>
      <c r="E162" s="4" t="s">
        <v>48</v>
      </c>
      <c r="F162" s="4" t="s">
        <v>47</v>
      </c>
      <c r="G162" s="4" t="s">
        <v>136</v>
      </c>
      <c r="H162" s="4" t="s">
        <v>44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5" x14ac:dyDescent="0.25">
      <c r="A163" s="5">
        <v>160</v>
      </c>
      <c r="B163" s="6">
        <v>45294</v>
      </c>
      <c r="C163" s="4" t="s">
        <v>44</v>
      </c>
      <c r="D163" s="4" t="s">
        <v>45</v>
      </c>
      <c r="E163" s="4" t="s">
        <v>46</v>
      </c>
      <c r="F163" s="4" t="s">
        <v>49</v>
      </c>
      <c r="G163" s="4" t="s">
        <v>136</v>
      </c>
      <c r="H163" s="4" t="s">
        <v>44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5" x14ac:dyDescent="0.25">
      <c r="A164" s="5">
        <v>161</v>
      </c>
      <c r="B164" s="6">
        <v>45368</v>
      </c>
      <c r="C164" s="4" t="s">
        <v>44</v>
      </c>
      <c r="D164" s="4" t="s">
        <v>45</v>
      </c>
      <c r="E164" s="4" t="s">
        <v>48</v>
      </c>
      <c r="F164" s="4" t="s">
        <v>47</v>
      </c>
      <c r="G164" s="4" t="s">
        <v>136</v>
      </c>
      <c r="H164" s="4" t="s">
        <v>44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5" x14ac:dyDescent="0.25">
      <c r="A165" s="5">
        <v>162</v>
      </c>
      <c r="B165" s="6">
        <v>45321</v>
      </c>
      <c r="C165" s="6">
        <v>45322</v>
      </c>
      <c r="D165" s="4" t="s">
        <v>50</v>
      </c>
      <c r="E165" s="4" t="s">
        <v>46</v>
      </c>
      <c r="F165" s="4" t="s">
        <v>51</v>
      </c>
      <c r="G165" s="4" t="s">
        <v>136</v>
      </c>
      <c r="H165" s="5">
        <v>24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5" x14ac:dyDescent="0.25">
      <c r="A166" s="5">
        <v>163</v>
      </c>
      <c r="B166" s="6">
        <v>45346</v>
      </c>
      <c r="C166" s="6">
        <v>45350</v>
      </c>
      <c r="D166" s="4" t="s">
        <v>50</v>
      </c>
      <c r="E166" s="4" t="s">
        <v>46</v>
      </c>
      <c r="F166" s="4" t="s">
        <v>47</v>
      </c>
      <c r="G166" s="4" t="s">
        <v>135</v>
      </c>
      <c r="H166" s="5">
        <v>96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5" x14ac:dyDescent="0.25">
      <c r="A167" s="5">
        <v>164</v>
      </c>
      <c r="B167" s="6">
        <v>45374</v>
      </c>
      <c r="C167" s="4" t="s">
        <v>44</v>
      </c>
      <c r="D167" s="4" t="s">
        <v>45</v>
      </c>
      <c r="E167" s="4" t="s">
        <v>46</v>
      </c>
      <c r="F167" s="4" t="s">
        <v>47</v>
      </c>
      <c r="G167" s="4" t="s">
        <v>135</v>
      </c>
      <c r="H167" s="4" t="s">
        <v>44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5" x14ac:dyDescent="0.25">
      <c r="A168" s="5">
        <v>165</v>
      </c>
      <c r="B168" s="6">
        <v>45328</v>
      </c>
      <c r="C168" s="4" t="s">
        <v>44</v>
      </c>
      <c r="D168" s="4" t="s">
        <v>45</v>
      </c>
      <c r="E168" s="4" t="s">
        <v>48</v>
      </c>
      <c r="F168" s="4" t="s">
        <v>49</v>
      </c>
      <c r="G168" s="4" t="s">
        <v>136</v>
      </c>
      <c r="H168" s="4" t="s">
        <v>44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5" x14ac:dyDescent="0.25">
      <c r="A169" s="5">
        <v>166</v>
      </c>
      <c r="B169" s="6">
        <v>45317</v>
      </c>
      <c r="C169" s="4" t="s">
        <v>44</v>
      </c>
      <c r="D169" s="4" t="s">
        <v>45</v>
      </c>
      <c r="E169" s="4" t="s">
        <v>46</v>
      </c>
      <c r="F169" s="4" t="s">
        <v>47</v>
      </c>
      <c r="G169" s="4" t="s">
        <v>136</v>
      </c>
      <c r="H169" s="4" t="s">
        <v>44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5" x14ac:dyDescent="0.25">
      <c r="A170" s="5">
        <v>167</v>
      </c>
      <c r="B170" s="6">
        <v>45318</v>
      </c>
      <c r="C170" s="6">
        <v>45327</v>
      </c>
      <c r="D170" s="4" t="s">
        <v>50</v>
      </c>
      <c r="E170" s="4" t="s">
        <v>46</v>
      </c>
      <c r="F170" s="4" t="s">
        <v>51</v>
      </c>
      <c r="G170" s="4" t="s">
        <v>135</v>
      </c>
      <c r="H170" s="5">
        <v>216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5" x14ac:dyDescent="0.25">
      <c r="A171" s="5">
        <v>168</v>
      </c>
      <c r="B171" s="6">
        <v>45380</v>
      </c>
      <c r="C171" s="4" t="s">
        <v>44</v>
      </c>
      <c r="D171" s="4" t="s">
        <v>45</v>
      </c>
      <c r="E171" s="4" t="s">
        <v>48</v>
      </c>
      <c r="F171" s="4" t="s">
        <v>47</v>
      </c>
      <c r="G171" s="4" t="s">
        <v>135</v>
      </c>
      <c r="H171" s="4" t="s">
        <v>44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5" x14ac:dyDescent="0.25">
      <c r="A172" s="5">
        <v>169</v>
      </c>
      <c r="B172" s="6">
        <v>45338</v>
      </c>
      <c r="C172" s="4" t="s">
        <v>44</v>
      </c>
      <c r="D172" s="4" t="s">
        <v>45</v>
      </c>
      <c r="E172" s="4" t="s">
        <v>48</v>
      </c>
      <c r="F172" s="4" t="s">
        <v>51</v>
      </c>
      <c r="G172" s="4" t="s">
        <v>136</v>
      </c>
      <c r="H172" s="4" t="s">
        <v>44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5" x14ac:dyDescent="0.25">
      <c r="A173" s="5">
        <v>170</v>
      </c>
      <c r="B173" s="6">
        <v>45364</v>
      </c>
      <c r="C173" s="4" t="s">
        <v>44</v>
      </c>
      <c r="D173" s="4" t="s">
        <v>45</v>
      </c>
      <c r="E173" s="4" t="s">
        <v>46</v>
      </c>
      <c r="F173" s="4" t="s">
        <v>47</v>
      </c>
      <c r="G173" s="4" t="s">
        <v>136</v>
      </c>
      <c r="H173" s="4" t="s">
        <v>44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5" x14ac:dyDescent="0.25">
      <c r="A174" s="5">
        <v>171</v>
      </c>
      <c r="B174" s="6">
        <v>45295</v>
      </c>
      <c r="C174" s="4" t="s">
        <v>44</v>
      </c>
      <c r="D174" s="4" t="s">
        <v>45</v>
      </c>
      <c r="E174" s="4" t="s">
        <v>46</v>
      </c>
      <c r="F174" s="4" t="s">
        <v>51</v>
      </c>
      <c r="G174" s="4" t="s">
        <v>135</v>
      </c>
      <c r="H174" s="4" t="s">
        <v>44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5" x14ac:dyDescent="0.25">
      <c r="A175" s="5">
        <v>172</v>
      </c>
      <c r="B175" s="6">
        <v>45299</v>
      </c>
      <c r="C175" s="6">
        <v>45302</v>
      </c>
      <c r="D175" s="4" t="s">
        <v>50</v>
      </c>
      <c r="E175" s="4" t="s">
        <v>46</v>
      </c>
      <c r="F175" s="4" t="s">
        <v>49</v>
      </c>
      <c r="G175" s="4" t="s">
        <v>136</v>
      </c>
      <c r="H175" s="5">
        <v>72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5" x14ac:dyDescent="0.25">
      <c r="A176" s="5">
        <v>173</v>
      </c>
      <c r="B176" s="6">
        <v>45361</v>
      </c>
      <c r="C176" s="6">
        <v>45366</v>
      </c>
      <c r="D176" s="4" t="s">
        <v>50</v>
      </c>
      <c r="E176" s="4" t="s">
        <v>48</v>
      </c>
      <c r="F176" s="4" t="s">
        <v>47</v>
      </c>
      <c r="G176" s="4" t="s">
        <v>135</v>
      </c>
      <c r="H176" s="5">
        <v>120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5" x14ac:dyDescent="0.25">
      <c r="A177" s="5">
        <v>174</v>
      </c>
      <c r="B177" s="6">
        <v>45295</v>
      </c>
      <c r="C177" s="6">
        <v>45299</v>
      </c>
      <c r="D177" s="4" t="s">
        <v>50</v>
      </c>
      <c r="E177" s="4" t="s">
        <v>48</v>
      </c>
      <c r="F177" s="4" t="s">
        <v>47</v>
      </c>
      <c r="G177" s="4" t="s">
        <v>136</v>
      </c>
      <c r="H177" s="5">
        <v>96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5" x14ac:dyDescent="0.25">
      <c r="A178" s="5">
        <v>175</v>
      </c>
      <c r="B178" s="6">
        <v>45304</v>
      </c>
      <c r="C178" s="4" t="s">
        <v>44</v>
      </c>
      <c r="D178" s="4" t="s">
        <v>45</v>
      </c>
      <c r="E178" s="4" t="s">
        <v>48</v>
      </c>
      <c r="F178" s="4" t="s">
        <v>51</v>
      </c>
      <c r="G178" s="4" t="s">
        <v>135</v>
      </c>
      <c r="H178" s="4" t="s">
        <v>44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5" x14ac:dyDescent="0.25">
      <c r="A179" s="5">
        <v>176</v>
      </c>
      <c r="B179" s="6">
        <v>45355</v>
      </c>
      <c r="C179" s="4" t="s">
        <v>44</v>
      </c>
      <c r="D179" s="4" t="s">
        <v>45</v>
      </c>
      <c r="E179" s="4" t="s">
        <v>48</v>
      </c>
      <c r="F179" s="4" t="s">
        <v>47</v>
      </c>
      <c r="G179" s="4" t="s">
        <v>136</v>
      </c>
      <c r="H179" s="4" t="s">
        <v>44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5" x14ac:dyDescent="0.25">
      <c r="A180" s="5">
        <v>177</v>
      </c>
      <c r="B180" s="6">
        <v>45321</v>
      </c>
      <c r="C180" s="4" t="s">
        <v>44</v>
      </c>
      <c r="D180" s="4" t="s">
        <v>45</v>
      </c>
      <c r="E180" s="4" t="s">
        <v>46</v>
      </c>
      <c r="F180" s="4" t="s">
        <v>47</v>
      </c>
      <c r="G180" s="4" t="s">
        <v>136</v>
      </c>
      <c r="H180" s="4" t="s">
        <v>44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5" x14ac:dyDescent="0.25">
      <c r="A181" s="5">
        <v>178</v>
      </c>
      <c r="B181" s="6">
        <v>45362</v>
      </c>
      <c r="C181" s="4" t="s">
        <v>44</v>
      </c>
      <c r="D181" s="4" t="s">
        <v>45</v>
      </c>
      <c r="E181" s="4" t="s">
        <v>48</v>
      </c>
      <c r="F181" s="4" t="s">
        <v>49</v>
      </c>
      <c r="G181" s="4" t="s">
        <v>135</v>
      </c>
      <c r="H181" s="4" t="s">
        <v>44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5" x14ac:dyDescent="0.25">
      <c r="A182" s="5">
        <v>179</v>
      </c>
      <c r="B182" s="6">
        <v>45335</v>
      </c>
      <c r="C182" s="4" t="s">
        <v>44</v>
      </c>
      <c r="D182" s="4" t="s">
        <v>45</v>
      </c>
      <c r="E182" s="4" t="s">
        <v>46</v>
      </c>
      <c r="F182" s="4" t="s">
        <v>49</v>
      </c>
      <c r="G182" s="4" t="s">
        <v>135</v>
      </c>
      <c r="H182" s="4" t="s">
        <v>44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5" x14ac:dyDescent="0.25">
      <c r="A183" s="5">
        <v>180</v>
      </c>
      <c r="B183" s="6">
        <v>45368</v>
      </c>
      <c r="C183" s="6">
        <v>45371</v>
      </c>
      <c r="D183" s="4" t="s">
        <v>50</v>
      </c>
      <c r="E183" s="4" t="s">
        <v>46</v>
      </c>
      <c r="F183" s="4" t="s">
        <v>47</v>
      </c>
      <c r="G183" s="4" t="s">
        <v>136</v>
      </c>
      <c r="H183" s="5">
        <v>72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5" x14ac:dyDescent="0.25">
      <c r="A184" s="5">
        <v>181</v>
      </c>
      <c r="B184" s="6">
        <v>45375</v>
      </c>
      <c r="C184" s="7"/>
      <c r="D184" s="4" t="s">
        <v>50</v>
      </c>
      <c r="E184" s="4" t="s">
        <v>48</v>
      </c>
      <c r="F184" s="4" t="s">
        <v>47</v>
      </c>
      <c r="G184" s="4" t="s">
        <v>135</v>
      </c>
      <c r="H184" s="5">
        <v>240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5" x14ac:dyDescent="0.25">
      <c r="A185" s="5">
        <v>182</v>
      </c>
      <c r="B185" s="6">
        <v>45316</v>
      </c>
      <c r="C185" s="4" t="s">
        <v>44</v>
      </c>
      <c r="D185" s="4" t="s">
        <v>45</v>
      </c>
      <c r="E185" s="4" t="s">
        <v>48</v>
      </c>
      <c r="F185" s="4" t="s">
        <v>51</v>
      </c>
      <c r="G185" s="4" t="s">
        <v>135</v>
      </c>
      <c r="H185" s="4" t="s">
        <v>44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5" x14ac:dyDescent="0.25">
      <c r="A186" s="5">
        <v>183</v>
      </c>
      <c r="B186" s="6">
        <v>45298</v>
      </c>
      <c r="C186" s="4" t="s">
        <v>44</v>
      </c>
      <c r="D186" s="4" t="s">
        <v>45</v>
      </c>
      <c r="E186" s="4" t="s">
        <v>46</v>
      </c>
      <c r="F186" s="4" t="s">
        <v>51</v>
      </c>
      <c r="G186" s="4" t="s">
        <v>136</v>
      </c>
      <c r="H186" s="4" t="s">
        <v>44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5" x14ac:dyDescent="0.25">
      <c r="A187" s="5">
        <v>184</v>
      </c>
      <c r="B187" s="6">
        <v>45331</v>
      </c>
      <c r="C187" s="4" t="s">
        <v>44</v>
      </c>
      <c r="D187" s="4" t="s">
        <v>45</v>
      </c>
      <c r="E187" s="4" t="s">
        <v>46</v>
      </c>
      <c r="F187" s="4" t="s">
        <v>49</v>
      </c>
      <c r="G187" s="4" t="s">
        <v>135</v>
      </c>
      <c r="H187" s="4" t="s">
        <v>44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5" x14ac:dyDescent="0.25">
      <c r="A188" s="5">
        <v>185</v>
      </c>
      <c r="B188" s="6">
        <v>45292</v>
      </c>
      <c r="C188" s="4" t="s">
        <v>44</v>
      </c>
      <c r="D188" s="4" t="s">
        <v>45</v>
      </c>
      <c r="E188" s="4" t="s">
        <v>48</v>
      </c>
      <c r="F188" s="4" t="s">
        <v>47</v>
      </c>
      <c r="G188" s="4" t="s">
        <v>136</v>
      </c>
      <c r="H188" s="4" t="s">
        <v>44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5" x14ac:dyDescent="0.25">
      <c r="A189" s="5">
        <v>186</v>
      </c>
      <c r="B189" s="6">
        <v>45360</v>
      </c>
      <c r="C189" s="4" t="s">
        <v>44</v>
      </c>
      <c r="D189" s="4" t="s">
        <v>45</v>
      </c>
      <c r="E189" s="4" t="s">
        <v>48</v>
      </c>
      <c r="F189" s="4" t="s">
        <v>47</v>
      </c>
      <c r="G189" s="4" t="s">
        <v>135</v>
      </c>
      <c r="H189" s="4" t="s">
        <v>44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5" x14ac:dyDescent="0.25">
      <c r="A190" s="5">
        <v>187</v>
      </c>
      <c r="B190" s="6">
        <v>45343</v>
      </c>
      <c r="C190" s="4" t="s">
        <v>44</v>
      </c>
      <c r="D190" s="4" t="s">
        <v>45</v>
      </c>
      <c r="E190" s="4" t="s">
        <v>48</v>
      </c>
      <c r="F190" s="4" t="s">
        <v>47</v>
      </c>
      <c r="G190" s="4" t="s">
        <v>136</v>
      </c>
      <c r="H190" s="4" t="s">
        <v>44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5" x14ac:dyDescent="0.25">
      <c r="A191" s="5">
        <v>188</v>
      </c>
      <c r="B191" s="6">
        <v>45352</v>
      </c>
      <c r="C191" s="4" t="s">
        <v>44</v>
      </c>
      <c r="D191" s="4" t="s">
        <v>45</v>
      </c>
      <c r="E191" s="4" t="s">
        <v>46</v>
      </c>
      <c r="F191" s="4" t="s">
        <v>47</v>
      </c>
      <c r="G191" s="4" t="s">
        <v>136</v>
      </c>
      <c r="H191" s="4" t="s">
        <v>44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5" x14ac:dyDescent="0.25">
      <c r="A192" s="5">
        <v>189</v>
      </c>
      <c r="B192" s="6">
        <v>45332</v>
      </c>
      <c r="C192" s="6">
        <v>45341</v>
      </c>
      <c r="D192" s="4" t="s">
        <v>50</v>
      </c>
      <c r="E192" s="4" t="s">
        <v>46</v>
      </c>
      <c r="F192" s="4" t="s">
        <v>49</v>
      </c>
      <c r="G192" s="4" t="s">
        <v>136</v>
      </c>
      <c r="H192" s="5">
        <v>216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5" x14ac:dyDescent="0.25">
      <c r="A193" s="5">
        <v>190</v>
      </c>
      <c r="B193" s="6">
        <v>45338</v>
      </c>
      <c r="C193" s="4" t="s">
        <v>44</v>
      </c>
      <c r="D193" s="4" t="s">
        <v>45</v>
      </c>
      <c r="E193" s="4" t="s">
        <v>48</v>
      </c>
      <c r="F193" s="4" t="s">
        <v>49</v>
      </c>
      <c r="G193" s="4" t="s">
        <v>135</v>
      </c>
      <c r="H193" s="4" t="s">
        <v>44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5" x14ac:dyDescent="0.25">
      <c r="A194" s="5">
        <v>191</v>
      </c>
      <c r="B194" s="6">
        <v>45332</v>
      </c>
      <c r="C194" s="4" t="s">
        <v>44</v>
      </c>
      <c r="D194" s="4" t="s">
        <v>45</v>
      </c>
      <c r="E194" s="4" t="s">
        <v>46</v>
      </c>
      <c r="F194" s="4" t="s">
        <v>47</v>
      </c>
      <c r="G194" s="4" t="s">
        <v>136</v>
      </c>
      <c r="H194" s="4" t="s">
        <v>44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5" x14ac:dyDescent="0.25">
      <c r="A195" s="5">
        <v>192</v>
      </c>
      <c r="B195" s="6">
        <v>45338</v>
      </c>
      <c r="C195" s="4" t="s">
        <v>44</v>
      </c>
      <c r="D195" s="4" t="s">
        <v>45</v>
      </c>
      <c r="E195" s="4" t="s">
        <v>48</v>
      </c>
      <c r="F195" s="4" t="s">
        <v>47</v>
      </c>
      <c r="G195" s="4" t="s">
        <v>135</v>
      </c>
      <c r="H195" s="4" t="s">
        <v>44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5" x14ac:dyDescent="0.25">
      <c r="A196" s="5">
        <v>193</v>
      </c>
      <c r="B196" s="6">
        <v>45327</v>
      </c>
      <c r="C196" s="6">
        <v>45333</v>
      </c>
      <c r="D196" s="4" t="s">
        <v>50</v>
      </c>
      <c r="E196" s="4" t="s">
        <v>48</v>
      </c>
      <c r="F196" s="4" t="s">
        <v>51</v>
      </c>
      <c r="G196" s="4" t="s">
        <v>135</v>
      </c>
      <c r="H196" s="5">
        <v>144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5" x14ac:dyDescent="0.25">
      <c r="A197" s="5">
        <v>194</v>
      </c>
      <c r="B197" s="6">
        <v>45343</v>
      </c>
      <c r="C197" s="4" t="s">
        <v>44</v>
      </c>
      <c r="D197" s="4" t="s">
        <v>45</v>
      </c>
      <c r="E197" s="4" t="s">
        <v>46</v>
      </c>
      <c r="F197" s="4" t="s">
        <v>51</v>
      </c>
      <c r="G197" s="4" t="s">
        <v>135</v>
      </c>
      <c r="H197" s="4" t="s">
        <v>44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5" x14ac:dyDescent="0.25">
      <c r="A198" s="5">
        <v>195</v>
      </c>
      <c r="B198" s="6">
        <v>45350</v>
      </c>
      <c r="C198" s="4" t="s">
        <v>44</v>
      </c>
      <c r="D198" s="4" t="s">
        <v>45</v>
      </c>
      <c r="E198" s="4" t="s">
        <v>48</v>
      </c>
      <c r="F198" s="4" t="s">
        <v>49</v>
      </c>
      <c r="G198" s="4" t="s">
        <v>136</v>
      </c>
      <c r="H198" s="4" t="s">
        <v>44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5" x14ac:dyDescent="0.25">
      <c r="A199" s="5">
        <v>196</v>
      </c>
      <c r="B199" s="6">
        <v>45352</v>
      </c>
      <c r="C199" s="6">
        <v>45360</v>
      </c>
      <c r="D199" s="4" t="s">
        <v>50</v>
      </c>
      <c r="E199" s="4" t="s">
        <v>48</v>
      </c>
      <c r="F199" s="4" t="s">
        <v>51</v>
      </c>
      <c r="G199" s="4" t="s">
        <v>135</v>
      </c>
      <c r="H199" s="5">
        <v>192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5" x14ac:dyDescent="0.25">
      <c r="A200" s="5">
        <v>197</v>
      </c>
      <c r="B200" s="6">
        <v>45333</v>
      </c>
      <c r="C200" s="4" t="s">
        <v>44</v>
      </c>
      <c r="D200" s="4" t="s">
        <v>45</v>
      </c>
      <c r="E200" s="4" t="s">
        <v>46</v>
      </c>
      <c r="F200" s="4" t="s">
        <v>51</v>
      </c>
      <c r="G200" s="4" t="s">
        <v>135</v>
      </c>
      <c r="H200" s="4" t="s">
        <v>44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5" x14ac:dyDescent="0.25">
      <c r="A201" s="5">
        <v>198</v>
      </c>
      <c r="B201" s="6">
        <v>45357</v>
      </c>
      <c r="C201" s="4" t="s">
        <v>44</v>
      </c>
      <c r="D201" s="4" t="s">
        <v>45</v>
      </c>
      <c r="E201" s="4" t="s">
        <v>48</v>
      </c>
      <c r="F201" s="4" t="s">
        <v>49</v>
      </c>
      <c r="G201" s="4" t="s">
        <v>135</v>
      </c>
      <c r="H201" s="4" t="s">
        <v>44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5" x14ac:dyDescent="0.25">
      <c r="A202" s="5">
        <v>199</v>
      </c>
      <c r="B202" s="6">
        <v>45381</v>
      </c>
      <c r="C202" s="4" t="s">
        <v>44</v>
      </c>
      <c r="D202" s="4" t="s">
        <v>45</v>
      </c>
      <c r="E202" s="4" t="s">
        <v>48</v>
      </c>
      <c r="F202" s="4" t="s">
        <v>49</v>
      </c>
      <c r="G202" s="4" t="s">
        <v>136</v>
      </c>
      <c r="H202" s="4" t="s">
        <v>44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5" x14ac:dyDescent="0.25">
      <c r="A203" s="5">
        <v>200</v>
      </c>
      <c r="B203" s="6">
        <v>45379</v>
      </c>
      <c r="C203" s="4" t="s">
        <v>44</v>
      </c>
      <c r="D203" s="4" t="s">
        <v>45</v>
      </c>
      <c r="E203" s="4" t="s">
        <v>48</v>
      </c>
      <c r="F203" s="4" t="s">
        <v>47</v>
      </c>
      <c r="G203" s="4" t="s">
        <v>136</v>
      </c>
      <c r="H203" s="4" t="s">
        <v>44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5" x14ac:dyDescent="0.25">
      <c r="A204" s="5">
        <v>201</v>
      </c>
      <c r="B204" s="6">
        <v>45304</v>
      </c>
      <c r="C204" s="6">
        <v>45308</v>
      </c>
      <c r="D204" s="4" t="s">
        <v>50</v>
      </c>
      <c r="E204" s="4" t="s">
        <v>48</v>
      </c>
      <c r="F204" s="4" t="s">
        <v>49</v>
      </c>
      <c r="G204" s="4" t="s">
        <v>136</v>
      </c>
      <c r="H204" s="5">
        <v>96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5" x14ac:dyDescent="0.25">
      <c r="A205" s="5">
        <v>202</v>
      </c>
      <c r="B205" s="6">
        <v>45359</v>
      </c>
      <c r="C205" s="7"/>
      <c r="D205" s="4" t="s">
        <v>45</v>
      </c>
      <c r="E205" s="4" t="s">
        <v>46</v>
      </c>
      <c r="F205" s="4" t="s">
        <v>49</v>
      </c>
      <c r="G205" s="4" t="s">
        <v>135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5" x14ac:dyDescent="0.25">
      <c r="A206" s="5">
        <v>203</v>
      </c>
      <c r="B206" s="6">
        <v>45378</v>
      </c>
      <c r="C206" s="6">
        <v>45383</v>
      </c>
      <c r="D206" s="4" t="s">
        <v>50</v>
      </c>
      <c r="E206" s="4" t="s">
        <v>46</v>
      </c>
      <c r="F206" s="4" t="s">
        <v>49</v>
      </c>
      <c r="G206" s="4" t="s">
        <v>135</v>
      </c>
      <c r="H206" s="5">
        <v>120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5" x14ac:dyDescent="0.25">
      <c r="A207" s="5">
        <v>204</v>
      </c>
      <c r="B207" s="6">
        <v>45357</v>
      </c>
      <c r="C207" s="6">
        <v>45366</v>
      </c>
      <c r="D207" s="4" t="s">
        <v>50</v>
      </c>
      <c r="E207" s="4" t="s">
        <v>48</v>
      </c>
      <c r="F207" s="4" t="s">
        <v>47</v>
      </c>
      <c r="G207" s="4" t="s">
        <v>136</v>
      </c>
      <c r="H207" s="5">
        <v>216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5" x14ac:dyDescent="0.25">
      <c r="A208" s="5">
        <v>205</v>
      </c>
      <c r="B208" s="6">
        <v>45315</v>
      </c>
      <c r="C208" s="4" t="s">
        <v>44</v>
      </c>
      <c r="D208" s="4" t="s">
        <v>45</v>
      </c>
      <c r="E208" s="4" t="s">
        <v>46</v>
      </c>
      <c r="F208" s="4" t="s">
        <v>47</v>
      </c>
      <c r="G208" s="4" t="s">
        <v>135</v>
      </c>
      <c r="H208" s="4" t="s">
        <v>44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5" x14ac:dyDescent="0.25">
      <c r="A209" s="5">
        <v>206</v>
      </c>
      <c r="B209" s="6">
        <v>45338</v>
      </c>
      <c r="C209" s="6">
        <v>45339</v>
      </c>
      <c r="D209" s="4" t="s">
        <v>50</v>
      </c>
      <c r="E209" s="4" t="s">
        <v>46</v>
      </c>
      <c r="F209" s="4" t="s">
        <v>51</v>
      </c>
      <c r="G209" s="4" t="s">
        <v>135</v>
      </c>
      <c r="H209" s="5">
        <v>24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5" x14ac:dyDescent="0.25">
      <c r="A210" s="5">
        <v>207</v>
      </c>
      <c r="B210" s="6">
        <v>45364</v>
      </c>
      <c r="C210" s="6">
        <v>45368</v>
      </c>
      <c r="D210" s="4" t="s">
        <v>50</v>
      </c>
      <c r="E210" s="4" t="s">
        <v>46</v>
      </c>
      <c r="F210" s="4" t="s">
        <v>47</v>
      </c>
      <c r="G210" s="4" t="s">
        <v>136</v>
      </c>
      <c r="H210" s="5">
        <v>96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5" x14ac:dyDescent="0.25">
      <c r="A211" s="5">
        <v>208</v>
      </c>
      <c r="B211" s="6">
        <v>45355</v>
      </c>
      <c r="C211" s="6">
        <v>45360</v>
      </c>
      <c r="D211" s="4" t="s">
        <v>50</v>
      </c>
      <c r="E211" s="4" t="s">
        <v>46</v>
      </c>
      <c r="F211" s="4" t="s">
        <v>51</v>
      </c>
      <c r="G211" s="4" t="s">
        <v>135</v>
      </c>
      <c r="H211" s="5">
        <v>120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5" x14ac:dyDescent="0.25">
      <c r="A212" s="5">
        <v>209</v>
      </c>
      <c r="B212" s="6">
        <v>45327</v>
      </c>
      <c r="C212" s="4" t="s">
        <v>44</v>
      </c>
      <c r="D212" s="4" t="s">
        <v>45</v>
      </c>
      <c r="E212" s="4" t="s">
        <v>46</v>
      </c>
      <c r="F212" s="4" t="s">
        <v>49</v>
      </c>
      <c r="G212" s="4" t="s">
        <v>136</v>
      </c>
      <c r="H212" s="4" t="s">
        <v>44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5" x14ac:dyDescent="0.25">
      <c r="A213" s="5">
        <v>210</v>
      </c>
      <c r="B213" s="6">
        <v>45323</v>
      </c>
      <c r="C213" s="6">
        <v>45328</v>
      </c>
      <c r="D213" s="4" t="s">
        <v>50</v>
      </c>
      <c r="E213" s="4" t="s">
        <v>46</v>
      </c>
      <c r="F213" s="4" t="s">
        <v>47</v>
      </c>
      <c r="G213" s="4" t="s">
        <v>136</v>
      </c>
      <c r="H213" s="5">
        <v>120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5" x14ac:dyDescent="0.25">
      <c r="A214" s="5">
        <v>211</v>
      </c>
      <c r="B214" s="6">
        <v>45359</v>
      </c>
      <c r="C214" s="6">
        <v>45363</v>
      </c>
      <c r="D214" s="4" t="s">
        <v>50</v>
      </c>
      <c r="E214" s="4" t="s">
        <v>48</v>
      </c>
      <c r="F214" s="4" t="s">
        <v>47</v>
      </c>
      <c r="G214" s="4" t="s">
        <v>136</v>
      </c>
      <c r="H214" s="5">
        <v>96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5" x14ac:dyDescent="0.25">
      <c r="A215" s="5">
        <v>212</v>
      </c>
      <c r="B215" s="6">
        <v>45361</v>
      </c>
      <c r="C215" s="4" t="s">
        <v>44</v>
      </c>
      <c r="D215" s="4" t="s">
        <v>45</v>
      </c>
      <c r="E215" s="4" t="s">
        <v>48</v>
      </c>
      <c r="F215" s="4" t="s">
        <v>47</v>
      </c>
      <c r="G215" s="4" t="s">
        <v>135</v>
      </c>
      <c r="H215" s="4" t="s">
        <v>44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5" x14ac:dyDescent="0.25">
      <c r="A216" s="5">
        <v>213</v>
      </c>
      <c r="B216" s="6">
        <v>45377</v>
      </c>
      <c r="C216" s="4" t="s">
        <v>44</v>
      </c>
      <c r="D216" s="4" t="s">
        <v>45</v>
      </c>
      <c r="E216" s="4" t="s">
        <v>48</v>
      </c>
      <c r="F216" s="4" t="s">
        <v>49</v>
      </c>
      <c r="G216" s="4" t="s">
        <v>136</v>
      </c>
      <c r="H216" s="4" t="s">
        <v>44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5" x14ac:dyDescent="0.25">
      <c r="A217" s="5">
        <v>214</v>
      </c>
      <c r="B217" s="6">
        <v>45304</v>
      </c>
      <c r="C217" s="4" t="s">
        <v>44</v>
      </c>
      <c r="D217" s="4" t="s">
        <v>45</v>
      </c>
      <c r="E217" s="4" t="s">
        <v>48</v>
      </c>
      <c r="F217" s="4" t="s">
        <v>51</v>
      </c>
      <c r="G217" s="4" t="s">
        <v>136</v>
      </c>
      <c r="H217" s="4" t="s">
        <v>44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5" x14ac:dyDescent="0.25">
      <c r="A218" s="5">
        <v>215</v>
      </c>
      <c r="B218" s="6">
        <v>45318</v>
      </c>
      <c r="C218" s="4" t="s">
        <v>44</v>
      </c>
      <c r="D218" s="4" t="s">
        <v>45</v>
      </c>
      <c r="E218" s="4" t="s">
        <v>46</v>
      </c>
      <c r="F218" s="4" t="s">
        <v>47</v>
      </c>
      <c r="G218" s="4" t="s">
        <v>135</v>
      </c>
      <c r="H218" s="4" t="s">
        <v>44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5" x14ac:dyDescent="0.25">
      <c r="A219" s="5">
        <v>216</v>
      </c>
      <c r="B219" s="6">
        <v>45315</v>
      </c>
      <c r="C219" s="6">
        <v>45317</v>
      </c>
      <c r="D219" s="4" t="s">
        <v>50</v>
      </c>
      <c r="E219" s="4" t="s">
        <v>46</v>
      </c>
      <c r="F219" s="4" t="s">
        <v>47</v>
      </c>
      <c r="G219" s="4" t="s">
        <v>135</v>
      </c>
      <c r="H219" s="5">
        <v>48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5" x14ac:dyDescent="0.25">
      <c r="A220" s="5">
        <v>217</v>
      </c>
      <c r="B220" s="6">
        <v>45365</v>
      </c>
      <c r="C220" s="6">
        <v>45373</v>
      </c>
      <c r="D220" s="4" t="s">
        <v>50</v>
      </c>
      <c r="E220" s="4" t="s">
        <v>46</v>
      </c>
      <c r="F220" s="4" t="s">
        <v>47</v>
      </c>
      <c r="G220" s="4" t="s">
        <v>136</v>
      </c>
      <c r="H220" s="5">
        <v>192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5" x14ac:dyDescent="0.25">
      <c r="A221" s="5">
        <v>218</v>
      </c>
      <c r="B221" s="6">
        <v>45337</v>
      </c>
      <c r="C221" s="6">
        <v>45343</v>
      </c>
      <c r="D221" s="4" t="s">
        <v>50</v>
      </c>
      <c r="E221" s="4" t="s">
        <v>48</v>
      </c>
      <c r="F221" s="4" t="s">
        <v>49</v>
      </c>
      <c r="G221" s="4" t="s">
        <v>135</v>
      </c>
      <c r="H221" s="5">
        <v>144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5" x14ac:dyDescent="0.25">
      <c r="A222" s="5">
        <v>219</v>
      </c>
      <c r="B222" s="6">
        <v>45348</v>
      </c>
      <c r="C222" s="4" t="s">
        <v>44</v>
      </c>
      <c r="D222" s="4" t="s">
        <v>45</v>
      </c>
      <c r="E222" s="4" t="s">
        <v>46</v>
      </c>
      <c r="F222" s="4" t="s">
        <v>47</v>
      </c>
      <c r="G222" s="4" t="s">
        <v>136</v>
      </c>
      <c r="H222" s="4" t="s">
        <v>44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5" x14ac:dyDescent="0.25">
      <c r="A223" s="5">
        <v>220</v>
      </c>
      <c r="B223" s="6">
        <v>45347</v>
      </c>
      <c r="C223" s="4" t="s">
        <v>44</v>
      </c>
      <c r="D223" s="4" t="s">
        <v>45</v>
      </c>
      <c r="E223" s="4" t="s">
        <v>46</v>
      </c>
      <c r="F223" s="4" t="s">
        <v>47</v>
      </c>
      <c r="G223" s="4" t="s">
        <v>136</v>
      </c>
      <c r="H223" s="4" t="s">
        <v>44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5" x14ac:dyDescent="0.25">
      <c r="A224" s="5">
        <v>221</v>
      </c>
      <c r="B224" s="6">
        <v>45363</v>
      </c>
      <c r="C224" s="4" t="s">
        <v>44</v>
      </c>
      <c r="D224" s="4" t="s">
        <v>45</v>
      </c>
      <c r="E224" s="4" t="s">
        <v>46</v>
      </c>
      <c r="F224" s="4" t="s">
        <v>47</v>
      </c>
      <c r="G224" s="4" t="s">
        <v>135</v>
      </c>
      <c r="H224" s="4" t="s">
        <v>44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5" x14ac:dyDescent="0.25">
      <c r="A225" s="5">
        <v>222</v>
      </c>
      <c r="B225" s="6">
        <v>45371</v>
      </c>
      <c r="C225" s="4" t="s">
        <v>44</v>
      </c>
      <c r="D225" s="4" t="s">
        <v>45</v>
      </c>
      <c r="E225" s="4" t="s">
        <v>46</v>
      </c>
      <c r="F225" s="4" t="s">
        <v>49</v>
      </c>
      <c r="G225" s="4" t="s">
        <v>136</v>
      </c>
      <c r="H225" s="4" t="s">
        <v>44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5" x14ac:dyDescent="0.25">
      <c r="A226" s="5">
        <v>223</v>
      </c>
      <c r="B226" s="6">
        <v>45351</v>
      </c>
      <c r="C226" s="4" t="s">
        <v>44</v>
      </c>
      <c r="D226" s="4" t="s">
        <v>45</v>
      </c>
      <c r="E226" s="4" t="s">
        <v>48</v>
      </c>
      <c r="F226" s="4" t="s">
        <v>47</v>
      </c>
      <c r="G226" s="4" t="s">
        <v>136</v>
      </c>
      <c r="H226" s="4" t="s">
        <v>44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5" x14ac:dyDescent="0.25">
      <c r="A227" s="5">
        <v>224</v>
      </c>
      <c r="B227" s="6">
        <v>45370</v>
      </c>
      <c r="C227" s="4" t="s">
        <v>44</v>
      </c>
      <c r="D227" s="4" t="s">
        <v>45</v>
      </c>
      <c r="E227" s="4" t="s">
        <v>46</v>
      </c>
      <c r="F227" s="4" t="s">
        <v>47</v>
      </c>
      <c r="G227" s="4" t="s">
        <v>135</v>
      </c>
      <c r="H227" s="4" t="s">
        <v>44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5" x14ac:dyDescent="0.25">
      <c r="A228" s="5">
        <v>225</v>
      </c>
      <c r="B228" s="6">
        <v>45303</v>
      </c>
      <c r="C228" s="7"/>
      <c r="D228" s="4" t="s">
        <v>45</v>
      </c>
      <c r="E228" s="4" t="s">
        <v>46</v>
      </c>
      <c r="F228" s="4" t="s">
        <v>49</v>
      </c>
      <c r="G228" s="4" t="s">
        <v>135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5" x14ac:dyDescent="0.25">
      <c r="A229" s="5">
        <v>226</v>
      </c>
      <c r="B229" s="6">
        <v>45357</v>
      </c>
      <c r="C229" s="4" t="s">
        <v>44</v>
      </c>
      <c r="D229" s="4" t="s">
        <v>45</v>
      </c>
      <c r="E229" s="4" t="s">
        <v>46</v>
      </c>
      <c r="F229" s="4" t="s">
        <v>51</v>
      </c>
      <c r="G229" s="4" t="s">
        <v>136</v>
      </c>
      <c r="H229" s="4" t="s">
        <v>44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5" x14ac:dyDescent="0.25">
      <c r="A230" s="5">
        <v>227</v>
      </c>
      <c r="B230" s="6">
        <v>45317</v>
      </c>
      <c r="C230" s="4" t="s">
        <v>44</v>
      </c>
      <c r="D230" s="4" t="s">
        <v>45</v>
      </c>
      <c r="E230" s="4" t="s">
        <v>46</v>
      </c>
      <c r="F230" s="4" t="s">
        <v>47</v>
      </c>
      <c r="G230" s="4" t="s">
        <v>135</v>
      </c>
      <c r="H230" s="4" t="s">
        <v>44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5" x14ac:dyDescent="0.25">
      <c r="A231" s="5">
        <v>228</v>
      </c>
      <c r="B231" s="6">
        <v>45368</v>
      </c>
      <c r="C231" s="6">
        <v>45373</v>
      </c>
      <c r="D231" s="4" t="s">
        <v>50</v>
      </c>
      <c r="E231" s="4" t="s">
        <v>48</v>
      </c>
      <c r="F231" s="4" t="s">
        <v>47</v>
      </c>
      <c r="G231" s="4" t="s">
        <v>135</v>
      </c>
      <c r="H231" s="5">
        <v>120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5" x14ac:dyDescent="0.25">
      <c r="A232" s="5">
        <v>229</v>
      </c>
      <c r="B232" s="6">
        <v>45345</v>
      </c>
      <c r="C232" s="4" t="s">
        <v>44</v>
      </c>
      <c r="D232" s="4" t="s">
        <v>45</v>
      </c>
      <c r="E232" s="4" t="s">
        <v>46</v>
      </c>
      <c r="F232" s="4" t="s">
        <v>51</v>
      </c>
      <c r="G232" s="4" t="s">
        <v>136</v>
      </c>
      <c r="H232" s="4" t="s">
        <v>44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5" x14ac:dyDescent="0.25">
      <c r="A233" s="5">
        <v>230</v>
      </c>
      <c r="B233" s="6">
        <v>45334</v>
      </c>
      <c r="C233" s="4" t="s">
        <v>44</v>
      </c>
      <c r="D233" s="4" t="s">
        <v>45</v>
      </c>
      <c r="E233" s="4" t="s">
        <v>48</v>
      </c>
      <c r="F233" s="4" t="s">
        <v>47</v>
      </c>
      <c r="G233" s="4" t="s">
        <v>135</v>
      </c>
      <c r="H233" s="4" t="s">
        <v>44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5" x14ac:dyDescent="0.25">
      <c r="A234" s="5">
        <v>231</v>
      </c>
      <c r="B234" s="6">
        <v>45378</v>
      </c>
      <c r="C234" s="6">
        <v>45381</v>
      </c>
      <c r="D234" s="4" t="s">
        <v>50</v>
      </c>
      <c r="E234" s="4" t="s">
        <v>46</v>
      </c>
      <c r="F234" s="4" t="s">
        <v>47</v>
      </c>
      <c r="G234" s="4" t="s">
        <v>136</v>
      </c>
      <c r="H234" s="5">
        <v>72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5" x14ac:dyDescent="0.25">
      <c r="A235" s="5">
        <v>232</v>
      </c>
      <c r="B235" s="6">
        <v>45295</v>
      </c>
      <c r="C235" s="6">
        <v>45299</v>
      </c>
      <c r="D235" s="4" t="s">
        <v>50</v>
      </c>
      <c r="E235" s="4" t="s">
        <v>46</v>
      </c>
      <c r="F235" s="4" t="s">
        <v>47</v>
      </c>
      <c r="G235" s="4" t="s">
        <v>136</v>
      </c>
      <c r="H235" s="5">
        <v>96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5" x14ac:dyDescent="0.25">
      <c r="A236" s="5">
        <v>233</v>
      </c>
      <c r="B236" s="6">
        <v>45325</v>
      </c>
      <c r="C236" s="4" t="s">
        <v>44</v>
      </c>
      <c r="D236" s="4" t="s">
        <v>45</v>
      </c>
      <c r="E236" s="4" t="s">
        <v>48</v>
      </c>
      <c r="F236" s="4" t="s">
        <v>47</v>
      </c>
      <c r="G236" s="4" t="s">
        <v>135</v>
      </c>
      <c r="H236" s="4" t="s">
        <v>44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5" x14ac:dyDescent="0.25">
      <c r="A237" s="5">
        <v>234</v>
      </c>
      <c r="B237" s="6">
        <v>45358</v>
      </c>
      <c r="C237" s="6">
        <v>45368</v>
      </c>
      <c r="D237" s="4" t="s">
        <v>50</v>
      </c>
      <c r="E237" s="4" t="s">
        <v>46</v>
      </c>
      <c r="F237" s="4" t="s">
        <v>47</v>
      </c>
      <c r="G237" s="4" t="s">
        <v>136</v>
      </c>
      <c r="H237" s="5">
        <v>240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5" x14ac:dyDescent="0.25">
      <c r="A238" s="5">
        <v>235</v>
      </c>
      <c r="B238" s="6">
        <v>45303</v>
      </c>
      <c r="C238" s="6">
        <v>45308</v>
      </c>
      <c r="D238" s="4" t="s">
        <v>50</v>
      </c>
      <c r="E238" s="4" t="s">
        <v>48</v>
      </c>
      <c r="F238" s="4" t="s">
        <v>47</v>
      </c>
      <c r="G238" s="4" t="s">
        <v>136</v>
      </c>
      <c r="H238" s="5">
        <v>120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5" x14ac:dyDescent="0.25">
      <c r="A239" s="5">
        <v>236</v>
      </c>
      <c r="B239" s="6">
        <v>45344</v>
      </c>
      <c r="C239" s="4" t="s">
        <v>44</v>
      </c>
      <c r="D239" s="4" t="s">
        <v>45</v>
      </c>
      <c r="E239" s="4" t="s">
        <v>46</v>
      </c>
      <c r="F239" s="4" t="s">
        <v>47</v>
      </c>
      <c r="G239" s="4" t="s">
        <v>136</v>
      </c>
      <c r="H239" s="4" t="s">
        <v>44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5" x14ac:dyDescent="0.25">
      <c r="A240" s="5">
        <v>237</v>
      </c>
      <c r="B240" s="6">
        <v>45323</v>
      </c>
      <c r="C240" s="4" t="s">
        <v>44</v>
      </c>
      <c r="D240" s="4" t="s">
        <v>45</v>
      </c>
      <c r="E240" s="4" t="s">
        <v>48</v>
      </c>
      <c r="F240" s="4" t="s">
        <v>49</v>
      </c>
      <c r="G240" s="4" t="s">
        <v>135</v>
      </c>
      <c r="H240" s="4" t="s">
        <v>44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5" x14ac:dyDescent="0.25">
      <c r="A241" s="5">
        <v>238</v>
      </c>
      <c r="B241" s="6">
        <v>45308</v>
      </c>
      <c r="C241" s="4" t="s">
        <v>44</v>
      </c>
      <c r="D241" s="4" t="s">
        <v>45</v>
      </c>
      <c r="E241" s="4" t="s">
        <v>46</v>
      </c>
      <c r="F241" s="4" t="s">
        <v>47</v>
      </c>
      <c r="G241" s="4" t="s">
        <v>136</v>
      </c>
      <c r="H241" s="4" t="s">
        <v>44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5" x14ac:dyDescent="0.25">
      <c r="A242" s="5">
        <v>239</v>
      </c>
      <c r="B242" s="6">
        <v>45368</v>
      </c>
      <c r="C242" s="4" t="s">
        <v>44</v>
      </c>
      <c r="D242" s="4" t="s">
        <v>45</v>
      </c>
      <c r="E242" s="4" t="s">
        <v>48</v>
      </c>
      <c r="F242" s="4" t="s">
        <v>49</v>
      </c>
      <c r="G242" s="4" t="s">
        <v>136</v>
      </c>
      <c r="H242" s="4" t="s">
        <v>44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5" x14ac:dyDescent="0.25">
      <c r="A243" s="5">
        <v>240</v>
      </c>
      <c r="B243" s="6">
        <v>45327</v>
      </c>
      <c r="C243" s="4" t="s">
        <v>44</v>
      </c>
      <c r="D243" s="4" t="s">
        <v>45</v>
      </c>
      <c r="E243" s="4" t="s">
        <v>46</v>
      </c>
      <c r="F243" s="4" t="s">
        <v>47</v>
      </c>
      <c r="G243" s="4" t="s">
        <v>136</v>
      </c>
      <c r="H243" s="4" t="s">
        <v>44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5" x14ac:dyDescent="0.25">
      <c r="A244" s="5">
        <v>241</v>
      </c>
      <c r="B244" s="6">
        <v>45326</v>
      </c>
      <c r="C244" s="4" t="s">
        <v>44</v>
      </c>
      <c r="D244" s="4" t="s">
        <v>45</v>
      </c>
      <c r="E244" s="4" t="s">
        <v>46</v>
      </c>
      <c r="F244" s="4" t="s">
        <v>47</v>
      </c>
      <c r="G244" s="4" t="s">
        <v>136</v>
      </c>
      <c r="H244" s="4" t="s">
        <v>44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5" x14ac:dyDescent="0.25">
      <c r="A245" s="5">
        <v>242</v>
      </c>
      <c r="B245" s="6">
        <v>45329</v>
      </c>
      <c r="C245" s="4" t="s">
        <v>44</v>
      </c>
      <c r="D245" s="4" t="s">
        <v>45</v>
      </c>
      <c r="E245" s="4" t="s">
        <v>48</v>
      </c>
      <c r="F245" s="4" t="s">
        <v>49</v>
      </c>
      <c r="G245" s="4" t="s">
        <v>135</v>
      </c>
      <c r="H245" s="4" t="s">
        <v>44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5" x14ac:dyDescent="0.25">
      <c r="A246" s="5">
        <v>243</v>
      </c>
      <c r="B246" s="6">
        <v>45360</v>
      </c>
      <c r="C246" s="4" t="s">
        <v>44</v>
      </c>
      <c r="D246" s="4" t="s">
        <v>45</v>
      </c>
      <c r="E246" s="4" t="s">
        <v>48</v>
      </c>
      <c r="F246" s="4" t="s">
        <v>49</v>
      </c>
      <c r="G246" s="4" t="s">
        <v>135</v>
      </c>
      <c r="H246" s="4" t="s">
        <v>44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5" x14ac:dyDescent="0.25">
      <c r="A247" s="5">
        <v>244</v>
      </c>
      <c r="B247" s="6">
        <v>45321</v>
      </c>
      <c r="C247" s="4" t="s">
        <v>44</v>
      </c>
      <c r="D247" s="4" t="s">
        <v>45</v>
      </c>
      <c r="E247" s="4" t="s">
        <v>46</v>
      </c>
      <c r="F247" s="4" t="s">
        <v>49</v>
      </c>
      <c r="G247" s="4" t="s">
        <v>135</v>
      </c>
      <c r="H247" s="4" t="s">
        <v>44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5" x14ac:dyDescent="0.25">
      <c r="A248" s="5">
        <v>245</v>
      </c>
      <c r="B248" s="6">
        <v>45363</v>
      </c>
      <c r="C248" s="6">
        <v>45369</v>
      </c>
      <c r="D248" s="4" t="s">
        <v>50</v>
      </c>
      <c r="E248" s="4" t="s">
        <v>46</v>
      </c>
      <c r="F248" s="4" t="s">
        <v>51</v>
      </c>
      <c r="G248" s="4" t="s">
        <v>135</v>
      </c>
      <c r="H248" s="5">
        <v>144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5" x14ac:dyDescent="0.25">
      <c r="A249" s="5">
        <v>246</v>
      </c>
      <c r="B249" s="6">
        <v>45335</v>
      </c>
      <c r="C249" s="4" t="s">
        <v>44</v>
      </c>
      <c r="D249" s="4" t="s">
        <v>45</v>
      </c>
      <c r="E249" s="4" t="s">
        <v>48</v>
      </c>
      <c r="F249" s="4" t="s">
        <v>47</v>
      </c>
      <c r="G249" s="4" t="s">
        <v>136</v>
      </c>
      <c r="H249" s="4" t="s">
        <v>44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5" x14ac:dyDescent="0.25">
      <c r="A250" s="5">
        <v>247</v>
      </c>
      <c r="B250" s="6">
        <v>45337</v>
      </c>
      <c r="C250" s="4" t="s">
        <v>44</v>
      </c>
      <c r="D250" s="4" t="s">
        <v>45</v>
      </c>
      <c r="E250" s="4" t="s">
        <v>46</v>
      </c>
      <c r="F250" s="4" t="s">
        <v>47</v>
      </c>
      <c r="G250" s="4" t="s">
        <v>135</v>
      </c>
      <c r="H250" s="4" t="s">
        <v>44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5" x14ac:dyDescent="0.25">
      <c r="A251" s="5">
        <v>248</v>
      </c>
      <c r="B251" s="6">
        <v>45294</v>
      </c>
      <c r="C251" s="6">
        <v>45296</v>
      </c>
      <c r="D251" s="4" t="s">
        <v>50</v>
      </c>
      <c r="E251" s="4" t="s">
        <v>48</v>
      </c>
      <c r="F251" s="4" t="s">
        <v>51</v>
      </c>
      <c r="G251" s="4" t="s">
        <v>135</v>
      </c>
      <c r="H251" s="5">
        <v>48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5" x14ac:dyDescent="0.25">
      <c r="A252" s="5">
        <v>249</v>
      </c>
      <c r="B252" s="6">
        <v>45296</v>
      </c>
      <c r="C252" s="4" t="s">
        <v>44</v>
      </c>
      <c r="D252" s="4" t="s">
        <v>45</v>
      </c>
      <c r="E252" s="4" t="s">
        <v>46</v>
      </c>
      <c r="F252" s="4" t="s">
        <v>49</v>
      </c>
      <c r="G252" s="4" t="s">
        <v>136</v>
      </c>
      <c r="H252" s="4" t="s">
        <v>44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5" x14ac:dyDescent="0.25">
      <c r="A253" s="5">
        <v>250</v>
      </c>
      <c r="B253" s="6">
        <v>45378</v>
      </c>
      <c r="C253" s="4" t="s">
        <v>44</v>
      </c>
      <c r="D253" s="4" t="s">
        <v>45</v>
      </c>
      <c r="E253" s="4" t="s">
        <v>48</v>
      </c>
      <c r="F253" s="4" t="s">
        <v>47</v>
      </c>
      <c r="G253" s="4" t="s">
        <v>135</v>
      </c>
      <c r="H253" s="4" t="s">
        <v>44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5" x14ac:dyDescent="0.25">
      <c r="A254" s="5">
        <v>251</v>
      </c>
      <c r="B254" s="6">
        <v>45310</v>
      </c>
      <c r="C254" s="6">
        <v>45319</v>
      </c>
      <c r="D254" s="4" t="s">
        <v>50</v>
      </c>
      <c r="E254" s="4" t="s">
        <v>46</v>
      </c>
      <c r="F254" s="4" t="s">
        <v>51</v>
      </c>
      <c r="G254" s="4" t="s">
        <v>135</v>
      </c>
      <c r="H254" s="5">
        <v>216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5" x14ac:dyDescent="0.25">
      <c r="A255" s="5">
        <v>252</v>
      </c>
      <c r="B255" s="6">
        <v>45300</v>
      </c>
      <c r="C255" s="4" t="s">
        <v>44</v>
      </c>
      <c r="D255" s="4" t="s">
        <v>45</v>
      </c>
      <c r="E255" s="4" t="s">
        <v>48</v>
      </c>
      <c r="F255" s="4" t="s">
        <v>47</v>
      </c>
      <c r="G255" s="4" t="s">
        <v>135</v>
      </c>
      <c r="H255" s="4" t="s">
        <v>44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5" x14ac:dyDescent="0.25">
      <c r="A256" s="5">
        <v>253</v>
      </c>
      <c r="B256" s="6">
        <v>45356</v>
      </c>
      <c r="C256" s="6">
        <v>45361</v>
      </c>
      <c r="D256" s="4" t="s">
        <v>50</v>
      </c>
      <c r="E256" s="4" t="s">
        <v>48</v>
      </c>
      <c r="F256" s="4" t="s">
        <v>47</v>
      </c>
      <c r="G256" s="4" t="s">
        <v>136</v>
      </c>
      <c r="H256" s="5">
        <v>120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5" x14ac:dyDescent="0.25">
      <c r="A257" s="5">
        <v>254</v>
      </c>
      <c r="B257" s="6">
        <v>45305</v>
      </c>
      <c r="C257" s="4" t="s">
        <v>44</v>
      </c>
      <c r="D257" s="4" t="s">
        <v>45</v>
      </c>
      <c r="E257" s="4" t="s">
        <v>46</v>
      </c>
      <c r="F257" s="4" t="s">
        <v>47</v>
      </c>
      <c r="G257" s="4" t="s">
        <v>136</v>
      </c>
      <c r="H257" s="4" t="s">
        <v>44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5" x14ac:dyDescent="0.25">
      <c r="A258" s="5">
        <v>255</v>
      </c>
      <c r="B258" s="6">
        <v>45317</v>
      </c>
      <c r="C258" s="4" t="s">
        <v>44</v>
      </c>
      <c r="D258" s="4" t="s">
        <v>45</v>
      </c>
      <c r="E258" s="4" t="s">
        <v>46</v>
      </c>
      <c r="F258" s="4" t="s">
        <v>47</v>
      </c>
      <c r="G258" s="4" t="s">
        <v>136</v>
      </c>
      <c r="H258" s="4" t="s">
        <v>44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5" x14ac:dyDescent="0.25">
      <c r="A259" s="5">
        <v>256</v>
      </c>
      <c r="B259" s="6">
        <v>45363</v>
      </c>
      <c r="C259" s="4" t="s">
        <v>44</v>
      </c>
      <c r="D259" s="4" t="s">
        <v>45</v>
      </c>
      <c r="E259" s="4" t="s">
        <v>48</v>
      </c>
      <c r="F259" s="4" t="s">
        <v>47</v>
      </c>
      <c r="G259" s="4" t="s">
        <v>135</v>
      </c>
      <c r="H259" s="4" t="s">
        <v>44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5" x14ac:dyDescent="0.25">
      <c r="A260" s="5">
        <v>257</v>
      </c>
      <c r="B260" s="6">
        <v>45363</v>
      </c>
      <c r="C260" s="4" t="s">
        <v>44</v>
      </c>
      <c r="D260" s="4" t="s">
        <v>45</v>
      </c>
      <c r="E260" s="4" t="s">
        <v>48</v>
      </c>
      <c r="F260" s="4" t="s">
        <v>51</v>
      </c>
      <c r="G260" s="4" t="s">
        <v>135</v>
      </c>
      <c r="H260" s="4" t="s">
        <v>44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5" x14ac:dyDescent="0.25">
      <c r="A261" s="5">
        <v>258</v>
      </c>
      <c r="B261" s="6">
        <v>45332</v>
      </c>
      <c r="C261" s="4" t="s">
        <v>44</v>
      </c>
      <c r="D261" s="4" t="s">
        <v>45</v>
      </c>
      <c r="E261" s="4" t="s">
        <v>46</v>
      </c>
      <c r="F261" s="4" t="s">
        <v>47</v>
      </c>
      <c r="G261" s="4" t="s">
        <v>135</v>
      </c>
      <c r="H261" s="4" t="s">
        <v>44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5" x14ac:dyDescent="0.25">
      <c r="A262" s="5">
        <v>259</v>
      </c>
      <c r="B262" s="6">
        <v>45321</v>
      </c>
      <c r="C262" s="6">
        <v>45329</v>
      </c>
      <c r="D262" s="4" t="s">
        <v>50</v>
      </c>
      <c r="E262" s="4" t="s">
        <v>46</v>
      </c>
      <c r="F262" s="4" t="s">
        <v>47</v>
      </c>
      <c r="G262" s="4" t="s">
        <v>136</v>
      </c>
      <c r="H262" s="5">
        <v>192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5" x14ac:dyDescent="0.25">
      <c r="A263" s="5">
        <v>260</v>
      </c>
      <c r="B263" s="6">
        <v>45330</v>
      </c>
      <c r="C263" s="4" t="s">
        <v>44</v>
      </c>
      <c r="D263" s="4" t="s">
        <v>45</v>
      </c>
      <c r="E263" s="4" t="s">
        <v>46</v>
      </c>
      <c r="F263" s="4" t="s">
        <v>47</v>
      </c>
      <c r="G263" s="4" t="s">
        <v>135</v>
      </c>
      <c r="H263" s="4" t="s">
        <v>44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5" x14ac:dyDescent="0.25">
      <c r="A264" s="5">
        <v>261</v>
      </c>
      <c r="B264" s="6">
        <v>45307</v>
      </c>
      <c r="C264" s="4" t="s">
        <v>44</v>
      </c>
      <c r="D264" s="4" t="s">
        <v>45</v>
      </c>
      <c r="E264" s="4" t="s">
        <v>48</v>
      </c>
      <c r="F264" s="4" t="s">
        <v>47</v>
      </c>
      <c r="G264" s="4" t="s">
        <v>136</v>
      </c>
      <c r="H264" s="4" t="s">
        <v>44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5" x14ac:dyDescent="0.25">
      <c r="A265" s="5">
        <v>262</v>
      </c>
      <c r="B265" s="6">
        <v>45364</v>
      </c>
      <c r="C265" s="4" t="s">
        <v>44</v>
      </c>
      <c r="D265" s="4" t="s">
        <v>45</v>
      </c>
      <c r="E265" s="4" t="s">
        <v>48</v>
      </c>
      <c r="F265" s="4" t="s">
        <v>47</v>
      </c>
      <c r="G265" s="4" t="s">
        <v>135</v>
      </c>
      <c r="H265" s="4" t="s">
        <v>44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5" x14ac:dyDescent="0.25">
      <c r="A266" s="5">
        <v>263</v>
      </c>
      <c r="B266" s="6">
        <v>45309</v>
      </c>
      <c r="C266" s="4" t="s">
        <v>44</v>
      </c>
      <c r="D266" s="4" t="s">
        <v>45</v>
      </c>
      <c r="E266" s="4" t="s">
        <v>48</v>
      </c>
      <c r="F266" s="4" t="s">
        <v>47</v>
      </c>
      <c r="G266" s="4" t="s">
        <v>135</v>
      </c>
      <c r="H266" s="4" t="s">
        <v>44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5" x14ac:dyDescent="0.25">
      <c r="A267" s="5">
        <v>264</v>
      </c>
      <c r="B267" s="6">
        <v>45323</v>
      </c>
      <c r="C267" s="4" t="s">
        <v>44</v>
      </c>
      <c r="D267" s="4" t="s">
        <v>45</v>
      </c>
      <c r="E267" s="4" t="s">
        <v>46</v>
      </c>
      <c r="F267" s="4" t="s">
        <v>47</v>
      </c>
      <c r="G267" s="4" t="s">
        <v>135</v>
      </c>
      <c r="H267" s="4" t="s">
        <v>44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5" x14ac:dyDescent="0.25">
      <c r="A268" s="5">
        <v>265</v>
      </c>
      <c r="B268" s="6">
        <v>45368</v>
      </c>
      <c r="C268" s="4" t="s">
        <v>44</v>
      </c>
      <c r="D268" s="4" t="s">
        <v>45</v>
      </c>
      <c r="E268" s="4" t="s">
        <v>46</v>
      </c>
      <c r="F268" s="4" t="s">
        <v>47</v>
      </c>
      <c r="G268" s="4" t="s">
        <v>136</v>
      </c>
      <c r="H268" s="4" t="s">
        <v>44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5" x14ac:dyDescent="0.25">
      <c r="A269" s="5">
        <v>266</v>
      </c>
      <c r="B269" s="6">
        <v>45334</v>
      </c>
      <c r="C269" s="6">
        <v>45338</v>
      </c>
      <c r="D269" s="4" t="s">
        <v>50</v>
      </c>
      <c r="E269" s="4" t="s">
        <v>48</v>
      </c>
      <c r="F269" s="4" t="s">
        <v>49</v>
      </c>
      <c r="G269" s="4" t="s">
        <v>135</v>
      </c>
      <c r="H269" s="5">
        <v>96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5" x14ac:dyDescent="0.25">
      <c r="A270" s="5">
        <v>267</v>
      </c>
      <c r="B270" s="6">
        <v>45365</v>
      </c>
      <c r="C270" s="4" t="s">
        <v>44</v>
      </c>
      <c r="D270" s="4" t="s">
        <v>45</v>
      </c>
      <c r="E270" s="4" t="s">
        <v>48</v>
      </c>
      <c r="F270" s="4" t="s">
        <v>47</v>
      </c>
      <c r="G270" s="4" t="s">
        <v>136</v>
      </c>
      <c r="H270" s="4" t="s">
        <v>44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5" x14ac:dyDescent="0.25">
      <c r="A271" s="5">
        <v>268</v>
      </c>
      <c r="B271" s="6">
        <v>45311</v>
      </c>
      <c r="C271" s="4" t="s">
        <v>44</v>
      </c>
      <c r="D271" s="4" t="s">
        <v>45</v>
      </c>
      <c r="E271" s="4" t="s">
        <v>46</v>
      </c>
      <c r="F271" s="4" t="s">
        <v>49</v>
      </c>
      <c r="G271" s="4" t="s">
        <v>136</v>
      </c>
      <c r="H271" s="4" t="s">
        <v>44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5" x14ac:dyDescent="0.25">
      <c r="A272" s="5">
        <v>269</v>
      </c>
      <c r="B272" s="6">
        <v>45378</v>
      </c>
      <c r="C272" s="4" t="s">
        <v>44</v>
      </c>
      <c r="D272" s="4" t="s">
        <v>45</v>
      </c>
      <c r="E272" s="4" t="s">
        <v>48</v>
      </c>
      <c r="F272" s="4" t="s">
        <v>47</v>
      </c>
      <c r="G272" s="4" t="s">
        <v>135</v>
      </c>
      <c r="H272" s="4" t="s">
        <v>44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5" x14ac:dyDescent="0.25">
      <c r="A273" s="5">
        <v>270</v>
      </c>
      <c r="B273" s="6">
        <v>45360</v>
      </c>
      <c r="C273" s="6">
        <v>45361</v>
      </c>
      <c r="D273" s="4" t="s">
        <v>50</v>
      </c>
      <c r="E273" s="4" t="s">
        <v>48</v>
      </c>
      <c r="F273" s="4" t="s">
        <v>51</v>
      </c>
      <c r="G273" s="4" t="s">
        <v>135</v>
      </c>
      <c r="H273" s="5">
        <v>24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5" x14ac:dyDescent="0.25">
      <c r="A274" s="5">
        <v>271</v>
      </c>
      <c r="B274" s="6">
        <v>45310</v>
      </c>
      <c r="C274" s="4" t="s">
        <v>44</v>
      </c>
      <c r="D274" s="4" t="s">
        <v>45</v>
      </c>
      <c r="E274" s="4" t="s">
        <v>48</v>
      </c>
      <c r="F274" s="4" t="s">
        <v>47</v>
      </c>
      <c r="G274" s="4" t="s">
        <v>135</v>
      </c>
      <c r="H274" s="4" t="s">
        <v>44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5" x14ac:dyDescent="0.25">
      <c r="A275" s="5">
        <v>272</v>
      </c>
      <c r="B275" s="6">
        <v>45355</v>
      </c>
      <c r="C275" s="4" t="s">
        <v>44</v>
      </c>
      <c r="D275" s="4" t="s">
        <v>45</v>
      </c>
      <c r="E275" s="4" t="s">
        <v>48</v>
      </c>
      <c r="F275" s="4" t="s">
        <v>47</v>
      </c>
      <c r="G275" s="4" t="s">
        <v>135</v>
      </c>
      <c r="H275" s="4" t="s">
        <v>44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5" x14ac:dyDescent="0.25">
      <c r="A276" s="5">
        <v>273</v>
      </c>
      <c r="B276" s="6">
        <v>45339</v>
      </c>
      <c r="C276" s="4" t="s">
        <v>44</v>
      </c>
      <c r="D276" s="4" t="s">
        <v>45</v>
      </c>
      <c r="E276" s="4" t="s">
        <v>48</v>
      </c>
      <c r="F276" s="4" t="s">
        <v>47</v>
      </c>
      <c r="G276" s="4" t="s">
        <v>135</v>
      </c>
      <c r="H276" s="4" t="s">
        <v>44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5" x14ac:dyDescent="0.25">
      <c r="A277" s="5">
        <v>274</v>
      </c>
      <c r="B277" s="6">
        <v>45335</v>
      </c>
      <c r="C277" s="4" t="s">
        <v>44</v>
      </c>
      <c r="D277" s="4" t="s">
        <v>45</v>
      </c>
      <c r="E277" s="4" t="s">
        <v>48</v>
      </c>
      <c r="F277" s="4" t="s">
        <v>47</v>
      </c>
      <c r="G277" s="4" t="s">
        <v>136</v>
      </c>
      <c r="H277" s="4" t="s">
        <v>44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5" x14ac:dyDescent="0.25">
      <c r="A278" s="5">
        <v>275</v>
      </c>
      <c r="B278" s="6">
        <v>45357</v>
      </c>
      <c r="C278" s="4" t="s">
        <v>44</v>
      </c>
      <c r="D278" s="4" t="s">
        <v>45</v>
      </c>
      <c r="E278" s="4" t="s">
        <v>46</v>
      </c>
      <c r="F278" s="4" t="s">
        <v>47</v>
      </c>
      <c r="G278" s="4" t="s">
        <v>135</v>
      </c>
      <c r="H278" s="4" t="s">
        <v>44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5" x14ac:dyDescent="0.25">
      <c r="A279" s="5">
        <v>276</v>
      </c>
      <c r="B279" s="6">
        <v>45321</v>
      </c>
      <c r="C279" s="4" t="s">
        <v>44</v>
      </c>
      <c r="D279" s="4" t="s">
        <v>45</v>
      </c>
      <c r="E279" s="4" t="s">
        <v>46</v>
      </c>
      <c r="F279" s="4" t="s">
        <v>47</v>
      </c>
      <c r="G279" s="4" t="s">
        <v>135</v>
      </c>
      <c r="H279" s="4" t="s">
        <v>44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5" x14ac:dyDescent="0.25">
      <c r="A280" s="5">
        <v>277</v>
      </c>
      <c r="B280" s="6">
        <v>45374</v>
      </c>
      <c r="C280" s="4" t="s">
        <v>44</v>
      </c>
      <c r="D280" s="4" t="s">
        <v>45</v>
      </c>
      <c r="E280" s="4" t="s">
        <v>46</v>
      </c>
      <c r="F280" s="4" t="s">
        <v>47</v>
      </c>
      <c r="G280" s="4" t="s">
        <v>136</v>
      </c>
      <c r="H280" s="4" t="s">
        <v>44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5" x14ac:dyDescent="0.25">
      <c r="A281" s="5">
        <v>278</v>
      </c>
      <c r="B281" s="6">
        <v>45365</v>
      </c>
      <c r="C281" s="4" t="s">
        <v>44</v>
      </c>
      <c r="D281" s="4" t="s">
        <v>45</v>
      </c>
      <c r="E281" s="4" t="s">
        <v>46</v>
      </c>
      <c r="F281" s="4" t="s">
        <v>51</v>
      </c>
      <c r="G281" s="4" t="s">
        <v>135</v>
      </c>
      <c r="H281" s="4" t="s">
        <v>44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5" x14ac:dyDescent="0.25">
      <c r="A282" s="5">
        <v>279</v>
      </c>
      <c r="B282" s="6">
        <v>45379</v>
      </c>
      <c r="C282" s="4" t="s">
        <v>44</v>
      </c>
      <c r="D282" s="4" t="s">
        <v>45</v>
      </c>
      <c r="E282" s="4" t="s">
        <v>46</v>
      </c>
      <c r="F282" s="4" t="s">
        <v>47</v>
      </c>
      <c r="G282" s="4" t="s">
        <v>136</v>
      </c>
      <c r="H282" s="4" t="s">
        <v>44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5" x14ac:dyDescent="0.25">
      <c r="A283" s="5">
        <v>280</v>
      </c>
      <c r="B283" s="6">
        <v>45359</v>
      </c>
      <c r="C283" s="4" t="s">
        <v>44</v>
      </c>
      <c r="D283" s="4" t="s">
        <v>45</v>
      </c>
      <c r="E283" s="4" t="s">
        <v>48</v>
      </c>
      <c r="F283" s="4" t="s">
        <v>47</v>
      </c>
      <c r="G283" s="4" t="s">
        <v>136</v>
      </c>
      <c r="H283" s="4" t="s">
        <v>44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5" x14ac:dyDescent="0.25">
      <c r="A284" s="5">
        <v>281</v>
      </c>
      <c r="B284" s="6">
        <v>45347</v>
      </c>
      <c r="C284" s="6">
        <v>45356</v>
      </c>
      <c r="D284" s="4" t="s">
        <v>50</v>
      </c>
      <c r="E284" s="4" t="s">
        <v>48</v>
      </c>
      <c r="F284" s="4" t="s">
        <v>51</v>
      </c>
      <c r="G284" s="4" t="s">
        <v>135</v>
      </c>
      <c r="H284" s="5">
        <v>216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5" x14ac:dyDescent="0.25">
      <c r="A285" s="5">
        <v>282</v>
      </c>
      <c r="B285" s="6">
        <v>45372</v>
      </c>
      <c r="C285" s="4" t="s">
        <v>44</v>
      </c>
      <c r="D285" s="4" t="s">
        <v>45</v>
      </c>
      <c r="E285" s="4" t="s">
        <v>48</v>
      </c>
      <c r="F285" s="4" t="s">
        <v>47</v>
      </c>
      <c r="G285" s="4" t="s">
        <v>135</v>
      </c>
      <c r="H285" s="4" t="s">
        <v>44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5" x14ac:dyDescent="0.25">
      <c r="A286" s="5">
        <v>283</v>
      </c>
      <c r="B286" s="6">
        <v>45335</v>
      </c>
      <c r="C286" s="4" t="s">
        <v>44</v>
      </c>
      <c r="D286" s="4" t="s">
        <v>45</v>
      </c>
      <c r="E286" s="4" t="s">
        <v>46</v>
      </c>
      <c r="F286" s="4" t="s">
        <v>47</v>
      </c>
      <c r="G286" s="4" t="s">
        <v>135</v>
      </c>
      <c r="H286" s="4" t="s">
        <v>44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5" x14ac:dyDescent="0.25">
      <c r="A287" s="5">
        <v>284</v>
      </c>
      <c r="B287" s="6">
        <v>45325</v>
      </c>
      <c r="C287" s="4" t="s">
        <v>44</v>
      </c>
      <c r="D287" s="4" t="s">
        <v>45</v>
      </c>
      <c r="E287" s="4" t="s">
        <v>46</v>
      </c>
      <c r="F287" s="4" t="s">
        <v>47</v>
      </c>
      <c r="G287" s="4" t="s">
        <v>135</v>
      </c>
      <c r="H287" s="4" t="s">
        <v>44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5" x14ac:dyDescent="0.25">
      <c r="A288" s="5">
        <v>285</v>
      </c>
      <c r="B288" s="6">
        <v>45292</v>
      </c>
      <c r="C288" s="4" t="s">
        <v>44</v>
      </c>
      <c r="D288" s="4" t="s">
        <v>45</v>
      </c>
      <c r="E288" s="4" t="s">
        <v>46</v>
      </c>
      <c r="F288" s="4" t="s">
        <v>49</v>
      </c>
      <c r="G288" s="4" t="s">
        <v>136</v>
      </c>
      <c r="H288" s="4" t="s">
        <v>44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5" x14ac:dyDescent="0.25">
      <c r="A289" s="5">
        <v>286</v>
      </c>
      <c r="B289" s="6">
        <v>45342</v>
      </c>
      <c r="C289" s="6">
        <v>45343</v>
      </c>
      <c r="D289" s="4" t="s">
        <v>50</v>
      </c>
      <c r="E289" s="4" t="s">
        <v>46</v>
      </c>
      <c r="F289" s="4" t="s">
        <v>51</v>
      </c>
      <c r="G289" s="4" t="s">
        <v>136</v>
      </c>
      <c r="H289" s="5">
        <v>24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5" x14ac:dyDescent="0.25">
      <c r="A290" s="5">
        <v>287</v>
      </c>
      <c r="B290" s="6">
        <v>45330</v>
      </c>
      <c r="C290" s="4" t="s">
        <v>44</v>
      </c>
      <c r="D290" s="4" t="s">
        <v>45</v>
      </c>
      <c r="E290" s="4" t="s">
        <v>48</v>
      </c>
      <c r="F290" s="4" t="s">
        <v>47</v>
      </c>
      <c r="G290" s="4" t="s">
        <v>136</v>
      </c>
      <c r="H290" s="4" t="s">
        <v>44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5" x14ac:dyDescent="0.25">
      <c r="A291" s="5">
        <v>288</v>
      </c>
      <c r="B291" s="6">
        <v>45371</v>
      </c>
      <c r="C291" s="4" t="s">
        <v>44</v>
      </c>
      <c r="D291" s="4" t="s">
        <v>45</v>
      </c>
      <c r="E291" s="4" t="s">
        <v>48</v>
      </c>
      <c r="F291" s="4" t="s">
        <v>49</v>
      </c>
      <c r="G291" s="4" t="s">
        <v>135</v>
      </c>
      <c r="H291" s="4" t="s">
        <v>44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5" x14ac:dyDescent="0.25">
      <c r="A292" s="5">
        <v>289</v>
      </c>
      <c r="B292" s="6">
        <v>45320</v>
      </c>
      <c r="C292" s="4" t="s">
        <v>44</v>
      </c>
      <c r="D292" s="4" t="s">
        <v>45</v>
      </c>
      <c r="E292" s="4" t="s">
        <v>46</v>
      </c>
      <c r="F292" s="4" t="s">
        <v>47</v>
      </c>
      <c r="G292" s="4" t="s">
        <v>136</v>
      </c>
      <c r="H292" s="4" t="s">
        <v>44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5" x14ac:dyDescent="0.25">
      <c r="A293" s="5">
        <v>290</v>
      </c>
      <c r="B293" s="6">
        <v>45312</v>
      </c>
      <c r="C293" s="6">
        <v>45321</v>
      </c>
      <c r="D293" s="4" t="s">
        <v>50</v>
      </c>
      <c r="E293" s="4" t="s">
        <v>46</v>
      </c>
      <c r="F293" s="4" t="s">
        <v>47</v>
      </c>
      <c r="G293" s="4" t="s">
        <v>135</v>
      </c>
      <c r="H293" s="5">
        <v>216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5" x14ac:dyDescent="0.25">
      <c r="A294" s="5">
        <v>291</v>
      </c>
      <c r="B294" s="6">
        <v>45359</v>
      </c>
      <c r="C294" s="4" t="s">
        <v>44</v>
      </c>
      <c r="D294" s="4" t="s">
        <v>45</v>
      </c>
      <c r="E294" s="4" t="s">
        <v>46</v>
      </c>
      <c r="F294" s="4" t="s">
        <v>51</v>
      </c>
      <c r="G294" s="4" t="s">
        <v>136</v>
      </c>
      <c r="H294" s="4" t="s">
        <v>44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5" x14ac:dyDescent="0.25">
      <c r="A295" s="5">
        <v>292</v>
      </c>
      <c r="B295" s="6">
        <v>45308</v>
      </c>
      <c r="C295" s="4" t="s">
        <v>44</v>
      </c>
      <c r="D295" s="4" t="s">
        <v>45</v>
      </c>
      <c r="E295" s="4" t="s">
        <v>46</v>
      </c>
      <c r="F295" s="4" t="s">
        <v>49</v>
      </c>
      <c r="G295" s="4" t="s">
        <v>136</v>
      </c>
      <c r="H295" s="4" t="s">
        <v>44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5" x14ac:dyDescent="0.25">
      <c r="A296" s="5">
        <v>293</v>
      </c>
      <c r="B296" s="6">
        <v>45310</v>
      </c>
      <c r="C296" s="6">
        <v>45314</v>
      </c>
      <c r="D296" s="4" t="s">
        <v>50</v>
      </c>
      <c r="E296" s="4" t="s">
        <v>46</v>
      </c>
      <c r="F296" s="4" t="s">
        <v>51</v>
      </c>
      <c r="G296" s="4" t="s">
        <v>135</v>
      </c>
      <c r="H296" s="5">
        <v>96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5" x14ac:dyDescent="0.25">
      <c r="A297" s="5">
        <v>294</v>
      </c>
      <c r="B297" s="6">
        <v>45294</v>
      </c>
      <c r="C297" s="7"/>
      <c r="D297" s="4" t="s">
        <v>45</v>
      </c>
      <c r="E297" s="4" t="s">
        <v>46</v>
      </c>
      <c r="F297" s="4" t="s">
        <v>47</v>
      </c>
      <c r="G297" s="4" t="s">
        <v>135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5" x14ac:dyDescent="0.25">
      <c r="A298" s="5">
        <v>295</v>
      </c>
      <c r="B298" s="6">
        <v>45344</v>
      </c>
      <c r="C298" s="4" t="s">
        <v>44</v>
      </c>
      <c r="D298" s="4" t="s">
        <v>45</v>
      </c>
      <c r="E298" s="4" t="s">
        <v>46</v>
      </c>
      <c r="F298" s="4" t="s">
        <v>51</v>
      </c>
      <c r="G298" s="4" t="s">
        <v>136</v>
      </c>
      <c r="H298" s="4" t="s">
        <v>44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5" x14ac:dyDescent="0.25">
      <c r="A299" s="5">
        <v>296</v>
      </c>
      <c r="B299" s="6">
        <v>45377</v>
      </c>
      <c r="C299" s="6">
        <v>45384</v>
      </c>
      <c r="D299" s="4" t="s">
        <v>50</v>
      </c>
      <c r="E299" s="4" t="s">
        <v>48</v>
      </c>
      <c r="F299" s="4" t="s">
        <v>47</v>
      </c>
      <c r="G299" s="4" t="s">
        <v>136</v>
      </c>
      <c r="H299" s="5">
        <v>168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5" x14ac:dyDescent="0.25">
      <c r="A300" s="5">
        <v>297</v>
      </c>
      <c r="B300" s="6">
        <v>45353</v>
      </c>
      <c r="C300" s="4" t="s">
        <v>44</v>
      </c>
      <c r="D300" s="4" t="s">
        <v>45</v>
      </c>
      <c r="E300" s="4" t="s">
        <v>46</v>
      </c>
      <c r="F300" s="4" t="s">
        <v>47</v>
      </c>
      <c r="G300" s="4" t="s">
        <v>135</v>
      </c>
      <c r="H300" s="4" t="s">
        <v>44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5" x14ac:dyDescent="0.25">
      <c r="A301" s="5">
        <v>298</v>
      </c>
      <c r="B301" s="6">
        <v>45370</v>
      </c>
      <c r="C301" s="4" t="s">
        <v>44</v>
      </c>
      <c r="D301" s="4" t="s">
        <v>45</v>
      </c>
      <c r="E301" s="4" t="s">
        <v>48</v>
      </c>
      <c r="F301" s="4" t="s">
        <v>49</v>
      </c>
      <c r="G301" s="4" t="s">
        <v>136</v>
      </c>
      <c r="H301" s="4" t="s">
        <v>44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5" x14ac:dyDescent="0.25">
      <c r="A302" s="5">
        <v>299</v>
      </c>
      <c r="B302" s="6">
        <v>45347</v>
      </c>
      <c r="C302" s="6">
        <v>45355</v>
      </c>
      <c r="D302" s="4" t="s">
        <v>50</v>
      </c>
      <c r="E302" s="4" t="s">
        <v>46</v>
      </c>
      <c r="F302" s="4" t="s">
        <v>51</v>
      </c>
      <c r="G302" s="4" t="s">
        <v>136</v>
      </c>
      <c r="H302" s="5">
        <v>192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5" x14ac:dyDescent="0.25">
      <c r="A303" s="5">
        <v>300</v>
      </c>
      <c r="B303" s="6">
        <v>45382</v>
      </c>
      <c r="C303" s="7"/>
      <c r="D303" s="4" t="s">
        <v>45</v>
      </c>
      <c r="E303" s="4" t="s">
        <v>46</v>
      </c>
      <c r="F303" s="4" t="s">
        <v>49</v>
      </c>
      <c r="G303" s="4" t="s">
        <v>135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5" x14ac:dyDescent="0.25">
      <c r="A304" s="5">
        <v>301</v>
      </c>
      <c r="B304" s="6">
        <v>45338</v>
      </c>
      <c r="C304" s="4" t="s">
        <v>44</v>
      </c>
      <c r="D304" s="4" t="s">
        <v>45</v>
      </c>
      <c r="E304" s="4" t="s">
        <v>46</v>
      </c>
      <c r="F304" s="4" t="s">
        <v>51</v>
      </c>
      <c r="G304" s="4" t="s">
        <v>136</v>
      </c>
      <c r="H304" s="4" t="s">
        <v>44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5" x14ac:dyDescent="0.25">
      <c r="A305" s="5">
        <v>302</v>
      </c>
      <c r="B305" s="6">
        <v>45372</v>
      </c>
      <c r="C305" s="4" t="s">
        <v>44</v>
      </c>
      <c r="D305" s="4" t="s">
        <v>45</v>
      </c>
      <c r="E305" s="4" t="s">
        <v>48</v>
      </c>
      <c r="F305" s="4" t="s">
        <v>47</v>
      </c>
      <c r="G305" s="4" t="s">
        <v>136</v>
      </c>
      <c r="H305" s="4" t="s">
        <v>44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5" x14ac:dyDescent="0.25">
      <c r="A306" s="5">
        <v>303</v>
      </c>
      <c r="B306" s="6">
        <v>45300</v>
      </c>
      <c r="C306" s="4" t="s">
        <v>44</v>
      </c>
      <c r="D306" s="4" t="s">
        <v>45</v>
      </c>
      <c r="E306" s="4" t="s">
        <v>46</v>
      </c>
      <c r="F306" s="4" t="s">
        <v>47</v>
      </c>
      <c r="G306" s="4" t="s">
        <v>136</v>
      </c>
      <c r="H306" s="4" t="s">
        <v>44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5" x14ac:dyDescent="0.25">
      <c r="A307" s="5">
        <v>304</v>
      </c>
      <c r="B307" s="6">
        <v>45358</v>
      </c>
      <c r="C307" s="4" t="s">
        <v>44</v>
      </c>
      <c r="D307" s="4" t="s">
        <v>45</v>
      </c>
      <c r="E307" s="4" t="s">
        <v>48</v>
      </c>
      <c r="F307" s="4" t="s">
        <v>47</v>
      </c>
      <c r="G307" s="4" t="s">
        <v>136</v>
      </c>
      <c r="H307" s="4" t="s">
        <v>44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5" x14ac:dyDescent="0.25">
      <c r="A308" s="5">
        <v>305</v>
      </c>
      <c r="B308" s="6">
        <v>45317</v>
      </c>
      <c r="C308" s="4" t="s">
        <v>44</v>
      </c>
      <c r="D308" s="4" t="s">
        <v>45</v>
      </c>
      <c r="E308" s="4" t="s">
        <v>46</v>
      </c>
      <c r="F308" s="4" t="s">
        <v>47</v>
      </c>
      <c r="G308" s="4" t="s">
        <v>136</v>
      </c>
      <c r="H308" s="4" t="s">
        <v>44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5" x14ac:dyDescent="0.25">
      <c r="A309" s="5">
        <v>306</v>
      </c>
      <c r="B309" s="6">
        <v>45297</v>
      </c>
      <c r="C309" s="4" t="s">
        <v>44</v>
      </c>
      <c r="D309" s="4" t="s">
        <v>45</v>
      </c>
      <c r="E309" s="4" t="s">
        <v>48</v>
      </c>
      <c r="F309" s="4" t="s">
        <v>51</v>
      </c>
      <c r="G309" s="4" t="s">
        <v>136</v>
      </c>
      <c r="H309" s="4" t="s">
        <v>44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5" x14ac:dyDescent="0.25">
      <c r="A310" s="5">
        <v>307</v>
      </c>
      <c r="B310" s="6">
        <v>45381</v>
      </c>
      <c r="C310" s="4" t="s">
        <v>44</v>
      </c>
      <c r="D310" s="4" t="s">
        <v>45</v>
      </c>
      <c r="E310" s="4" t="s">
        <v>46</v>
      </c>
      <c r="F310" s="4" t="s">
        <v>47</v>
      </c>
      <c r="G310" s="4" t="s">
        <v>136</v>
      </c>
      <c r="H310" s="4" t="s">
        <v>44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5" x14ac:dyDescent="0.25">
      <c r="A311" s="5">
        <v>308</v>
      </c>
      <c r="B311" s="6">
        <v>45302</v>
      </c>
      <c r="C311" s="4" t="s">
        <v>44</v>
      </c>
      <c r="D311" s="4" t="s">
        <v>45</v>
      </c>
      <c r="E311" s="4" t="s">
        <v>46</v>
      </c>
      <c r="F311" s="4" t="s">
        <v>47</v>
      </c>
      <c r="G311" s="4" t="s">
        <v>135</v>
      </c>
      <c r="H311" s="4" t="s">
        <v>44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5" x14ac:dyDescent="0.25">
      <c r="A312" s="5">
        <v>309</v>
      </c>
      <c r="B312" s="6">
        <v>45382</v>
      </c>
      <c r="C312" s="4" t="s">
        <v>44</v>
      </c>
      <c r="D312" s="4" t="s">
        <v>45</v>
      </c>
      <c r="E312" s="4" t="s">
        <v>48</v>
      </c>
      <c r="F312" s="4" t="s">
        <v>49</v>
      </c>
      <c r="G312" s="4" t="s">
        <v>135</v>
      </c>
      <c r="H312" s="4" t="s">
        <v>44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5" x14ac:dyDescent="0.25">
      <c r="A313" s="5">
        <v>310</v>
      </c>
      <c r="B313" s="6">
        <v>45345</v>
      </c>
      <c r="C313" s="4" t="s">
        <v>44</v>
      </c>
      <c r="D313" s="4" t="s">
        <v>45</v>
      </c>
      <c r="E313" s="4" t="s">
        <v>48</v>
      </c>
      <c r="F313" s="4" t="s">
        <v>47</v>
      </c>
      <c r="G313" s="4" t="s">
        <v>136</v>
      </c>
      <c r="H313" s="4" t="s">
        <v>44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5" x14ac:dyDescent="0.25">
      <c r="A314" s="5">
        <v>311</v>
      </c>
      <c r="B314" s="6">
        <v>45352</v>
      </c>
      <c r="C314" s="4" t="s">
        <v>44</v>
      </c>
      <c r="D314" s="4" t="s">
        <v>45</v>
      </c>
      <c r="E314" s="4" t="s">
        <v>48</v>
      </c>
      <c r="F314" s="4" t="s">
        <v>47</v>
      </c>
      <c r="G314" s="4" t="s">
        <v>135</v>
      </c>
      <c r="H314" s="4" t="s">
        <v>44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5" x14ac:dyDescent="0.25">
      <c r="A315" s="5">
        <v>312</v>
      </c>
      <c r="B315" s="6">
        <v>45294</v>
      </c>
      <c r="C315" s="6">
        <v>45303</v>
      </c>
      <c r="D315" s="4" t="s">
        <v>50</v>
      </c>
      <c r="E315" s="4" t="s">
        <v>48</v>
      </c>
      <c r="F315" s="4" t="s">
        <v>47</v>
      </c>
      <c r="G315" s="4" t="s">
        <v>135</v>
      </c>
      <c r="H315" s="5">
        <v>216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5" x14ac:dyDescent="0.25">
      <c r="A316" s="5">
        <v>313</v>
      </c>
      <c r="B316" s="6">
        <v>45343</v>
      </c>
      <c r="C316" s="6">
        <v>45346</v>
      </c>
      <c r="D316" s="4" t="s">
        <v>50</v>
      </c>
      <c r="E316" s="4" t="s">
        <v>48</v>
      </c>
      <c r="F316" s="4" t="s">
        <v>49</v>
      </c>
      <c r="G316" s="4" t="s">
        <v>136</v>
      </c>
      <c r="H316" s="5">
        <v>72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5" x14ac:dyDescent="0.25">
      <c r="A317" s="5">
        <v>314</v>
      </c>
      <c r="B317" s="6">
        <v>45323</v>
      </c>
      <c r="C317" s="6">
        <v>45329</v>
      </c>
      <c r="D317" s="4" t="s">
        <v>50</v>
      </c>
      <c r="E317" s="4" t="s">
        <v>46</v>
      </c>
      <c r="F317" s="4" t="s">
        <v>47</v>
      </c>
      <c r="G317" s="4" t="s">
        <v>136</v>
      </c>
      <c r="H317" s="5">
        <v>144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5" x14ac:dyDescent="0.25">
      <c r="A318" s="5">
        <v>315</v>
      </c>
      <c r="B318" s="6">
        <v>45307</v>
      </c>
      <c r="C318" s="4" t="s">
        <v>44</v>
      </c>
      <c r="D318" s="4" t="s">
        <v>45</v>
      </c>
      <c r="E318" s="4" t="s">
        <v>48</v>
      </c>
      <c r="F318" s="4" t="s">
        <v>47</v>
      </c>
      <c r="G318" s="4" t="s">
        <v>135</v>
      </c>
      <c r="H318" s="4" t="s">
        <v>44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5" x14ac:dyDescent="0.25">
      <c r="A319" s="5">
        <v>316</v>
      </c>
      <c r="B319" s="6">
        <v>45355</v>
      </c>
      <c r="C319" s="4" t="s">
        <v>44</v>
      </c>
      <c r="D319" s="4" t="s">
        <v>45</v>
      </c>
      <c r="E319" s="4" t="s">
        <v>48</v>
      </c>
      <c r="F319" s="4" t="s">
        <v>47</v>
      </c>
      <c r="G319" s="4" t="s">
        <v>136</v>
      </c>
      <c r="H319" s="4" t="s">
        <v>44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5" x14ac:dyDescent="0.25">
      <c r="A320" s="5">
        <v>317</v>
      </c>
      <c r="B320" s="6">
        <v>45314</v>
      </c>
      <c r="C320" s="6">
        <v>45324</v>
      </c>
      <c r="D320" s="4" t="s">
        <v>50</v>
      </c>
      <c r="E320" s="4" t="s">
        <v>48</v>
      </c>
      <c r="F320" s="4" t="s">
        <v>47</v>
      </c>
      <c r="G320" s="4" t="s">
        <v>136</v>
      </c>
      <c r="H320" s="5">
        <v>240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5" x14ac:dyDescent="0.25">
      <c r="A321" s="5">
        <v>318</v>
      </c>
      <c r="B321" s="6">
        <v>45300</v>
      </c>
      <c r="C321" s="4" t="s">
        <v>44</v>
      </c>
      <c r="D321" s="4" t="s">
        <v>45</v>
      </c>
      <c r="E321" s="4" t="s">
        <v>48</v>
      </c>
      <c r="F321" s="4" t="s">
        <v>47</v>
      </c>
      <c r="G321" s="4" t="s">
        <v>136</v>
      </c>
      <c r="H321" s="4" t="s">
        <v>44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5" x14ac:dyDescent="0.25">
      <c r="A322" s="5">
        <v>319</v>
      </c>
      <c r="B322" s="6">
        <v>45335</v>
      </c>
      <c r="C322" s="4" t="s">
        <v>44</v>
      </c>
      <c r="D322" s="4" t="s">
        <v>45</v>
      </c>
      <c r="E322" s="4" t="s">
        <v>46</v>
      </c>
      <c r="F322" s="4" t="s">
        <v>49</v>
      </c>
      <c r="G322" s="4" t="s">
        <v>135</v>
      </c>
      <c r="H322" s="4" t="s">
        <v>44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5" x14ac:dyDescent="0.25">
      <c r="A323" s="5">
        <v>320</v>
      </c>
      <c r="B323" s="6">
        <v>45380</v>
      </c>
      <c r="C323" s="7"/>
      <c r="D323" s="4" t="s">
        <v>45</v>
      </c>
      <c r="E323" s="4" t="s">
        <v>46</v>
      </c>
      <c r="F323" s="4" t="s">
        <v>47</v>
      </c>
      <c r="G323" s="4" t="s">
        <v>135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5" x14ac:dyDescent="0.25">
      <c r="A324" s="5">
        <v>321</v>
      </c>
      <c r="B324" s="6">
        <v>45308</v>
      </c>
      <c r="C324" s="4" t="s">
        <v>44</v>
      </c>
      <c r="D324" s="4" t="s">
        <v>45</v>
      </c>
      <c r="E324" s="4" t="s">
        <v>46</v>
      </c>
      <c r="F324" s="4" t="s">
        <v>47</v>
      </c>
      <c r="G324" s="4" t="s">
        <v>136</v>
      </c>
      <c r="H324" s="4" t="s">
        <v>44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5" x14ac:dyDescent="0.25">
      <c r="A325" s="5">
        <v>322</v>
      </c>
      <c r="B325" s="6">
        <v>45344</v>
      </c>
      <c r="C325" s="4" t="s">
        <v>44</v>
      </c>
      <c r="D325" s="4" t="s">
        <v>45</v>
      </c>
      <c r="E325" s="4" t="s">
        <v>48</v>
      </c>
      <c r="F325" s="4" t="s">
        <v>47</v>
      </c>
      <c r="G325" s="4" t="s">
        <v>136</v>
      </c>
      <c r="H325" s="4" t="s">
        <v>44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5" x14ac:dyDescent="0.25">
      <c r="A326" s="5">
        <v>323</v>
      </c>
      <c r="B326" s="6">
        <v>45295</v>
      </c>
      <c r="C326" s="6">
        <v>45303</v>
      </c>
      <c r="D326" s="4" t="s">
        <v>50</v>
      </c>
      <c r="E326" s="4" t="s">
        <v>48</v>
      </c>
      <c r="F326" s="4" t="s">
        <v>51</v>
      </c>
      <c r="G326" s="4" t="s">
        <v>136</v>
      </c>
      <c r="H326" s="5">
        <v>192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5" x14ac:dyDescent="0.25">
      <c r="A327" s="5">
        <v>324</v>
      </c>
      <c r="B327" s="6">
        <v>45293</v>
      </c>
      <c r="C327" s="4" t="s">
        <v>44</v>
      </c>
      <c r="D327" s="4" t="s">
        <v>45</v>
      </c>
      <c r="E327" s="4" t="s">
        <v>46</v>
      </c>
      <c r="F327" s="4" t="s">
        <v>47</v>
      </c>
      <c r="G327" s="4" t="s">
        <v>135</v>
      </c>
      <c r="H327" s="4" t="s">
        <v>44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5" x14ac:dyDescent="0.25">
      <c r="A328" s="5">
        <v>325</v>
      </c>
      <c r="B328" s="6">
        <v>45369</v>
      </c>
      <c r="C328" s="4" t="s">
        <v>44</v>
      </c>
      <c r="D328" s="4" t="s">
        <v>45</v>
      </c>
      <c r="E328" s="4" t="s">
        <v>46</v>
      </c>
      <c r="F328" s="4" t="s">
        <v>51</v>
      </c>
      <c r="G328" s="4" t="s">
        <v>136</v>
      </c>
      <c r="H328" s="4" t="s">
        <v>44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5" x14ac:dyDescent="0.25">
      <c r="A329" s="5">
        <v>326</v>
      </c>
      <c r="B329" s="6">
        <v>45298</v>
      </c>
      <c r="C329" s="6">
        <v>45304</v>
      </c>
      <c r="D329" s="4" t="s">
        <v>50</v>
      </c>
      <c r="E329" s="4" t="s">
        <v>46</v>
      </c>
      <c r="F329" s="4" t="s">
        <v>49</v>
      </c>
      <c r="G329" s="4" t="s">
        <v>136</v>
      </c>
      <c r="H329" s="5">
        <v>144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5" x14ac:dyDescent="0.25">
      <c r="A330" s="5">
        <v>327</v>
      </c>
      <c r="B330" s="6">
        <v>45372</v>
      </c>
      <c r="C330" s="6">
        <v>45380</v>
      </c>
      <c r="D330" s="4" t="s">
        <v>50</v>
      </c>
      <c r="E330" s="4" t="s">
        <v>48</v>
      </c>
      <c r="F330" s="4" t="s">
        <v>51</v>
      </c>
      <c r="G330" s="4" t="s">
        <v>136</v>
      </c>
      <c r="H330" s="5">
        <v>192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5" x14ac:dyDescent="0.25">
      <c r="A331" s="5">
        <v>328</v>
      </c>
      <c r="B331" s="6">
        <v>45379</v>
      </c>
      <c r="C331" s="4" t="s">
        <v>44</v>
      </c>
      <c r="D331" s="4" t="s">
        <v>45</v>
      </c>
      <c r="E331" s="4" t="s">
        <v>46</v>
      </c>
      <c r="F331" s="4" t="s">
        <v>47</v>
      </c>
      <c r="G331" s="4" t="s">
        <v>136</v>
      </c>
      <c r="H331" s="4" t="s">
        <v>44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5" x14ac:dyDescent="0.25">
      <c r="A332" s="5">
        <v>329</v>
      </c>
      <c r="B332" s="6">
        <v>45315</v>
      </c>
      <c r="C332" s="4" t="s">
        <v>44</v>
      </c>
      <c r="D332" s="4" t="s">
        <v>45</v>
      </c>
      <c r="E332" s="4" t="s">
        <v>46</v>
      </c>
      <c r="F332" s="4" t="s">
        <v>47</v>
      </c>
      <c r="G332" s="4" t="s">
        <v>136</v>
      </c>
      <c r="H332" s="4" t="s">
        <v>44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5" x14ac:dyDescent="0.25">
      <c r="A333" s="5">
        <v>330</v>
      </c>
      <c r="B333" s="6">
        <v>45295</v>
      </c>
      <c r="C333" s="4" t="s">
        <v>44</v>
      </c>
      <c r="D333" s="4" t="s">
        <v>45</v>
      </c>
      <c r="E333" s="4" t="s">
        <v>48</v>
      </c>
      <c r="F333" s="4" t="s">
        <v>49</v>
      </c>
      <c r="G333" s="4" t="s">
        <v>135</v>
      </c>
      <c r="H333" s="4" t="s">
        <v>44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5" x14ac:dyDescent="0.25">
      <c r="A334" s="5">
        <v>331</v>
      </c>
      <c r="B334" s="6">
        <v>45310</v>
      </c>
      <c r="C334" s="4" t="s">
        <v>44</v>
      </c>
      <c r="D334" s="4" t="s">
        <v>45</v>
      </c>
      <c r="E334" s="4" t="s">
        <v>48</v>
      </c>
      <c r="F334" s="4" t="s">
        <v>47</v>
      </c>
      <c r="G334" s="4" t="s">
        <v>135</v>
      </c>
      <c r="H334" s="4" t="s">
        <v>44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5" x14ac:dyDescent="0.25">
      <c r="A335" s="5">
        <v>332</v>
      </c>
      <c r="B335" s="6">
        <v>45312</v>
      </c>
      <c r="C335" s="4" t="s">
        <v>44</v>
      </c>
      <c r="D335" s="4" t="s">
        <v>45</v>
      </c>
      <c r="E335" s="4" t="s">
        <v>46</v>
      </c>
      <c r="F335" s="4" t="s">
        <v>49</v>
      </c>
      <c r="G335" s="4" t="s">
        <v>136</v>
      </c>
      <c r="H335" s="4" t="s">
        <v>44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5" x14ac:dyDescent="0.25">
      <c r="A336" s="5">
        <v>333</v>
      </c>
      <c r="B336" s="6">
        <v>45370</v>
      </c>
      <c r="C336" s="4" t="s">
        <v>44</v>
      </c>
      <c r="D336" s="4" t="s">
        <v>45</v>
      </c>
      <c r="E336" s="4" t="s">
        <v>46</v>
      </c>
      <c r="F336" s="4" t="s">
        <v>47</v>
      </c>
      <c r="G336" s="4" t="s">
        <v>136</v>
      </c>
      <c r="H336" s="4" t="s">
        <v>44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5" x14ac:dyDescent="0.25">
      <c r="A337" s="5">
        <v>334</v>
      </c>
      <c r="B337" s="6">
        <v>45354</v>
      </c>
      <c r="C337" s="4" t="s">
        <v>44</v>
      </c>
      <c r="D337" s="4" t="s">
        <v>45</v>
      </c>
      <c r="E337" s="4" t="s">
        <v>46</v>
      </c>
      <c r="F337" s="4" t="s">
        <v>47</v>
      </c>
      <c r="G337" s="4" t="s">
        <v>136</v>
      </c>
      <c r="H337" s="4" t="s">
        <v>44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5" x14ac:dyDescent="0.25">
      <c r="A338" s="5">
        <v>335</v>
      </c>
      <c r="B338" s="6">
        <v>45319</v>
      </c>
      <c r="C338" s="4" t="s">
        <v>44</v>
      </c>
      <c r="D338" s="4" t="s">
        <v>45</v>
      </c>
      <c r="E338" s="4" t="s">
        <v>48</v>
      </c>
      <c r="F338" s="4" t="s">
        <v>47</v>
      </c>
      <c r="G338" s="4" t="s">
        <v>135</v>
      </c>
      <c r="H338" s="4" t="s">
        <v>44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5" x14ac:dyDescent="0.25">
      <c r="A339" s="5">
        <v>336</v>
      </c>
      <c r="B339" s="6">
        <v>45357</v>
      </c>
      <c r="C339" s="6">
        <v>45359</v>
      </c>
      <c r="D339" s="4" t="s">
        <v>50</v>
      </c>
      <c r="E339" s="4" t="s">
        <v>48</v>
      </c>
      <c r="F339" s="4" t="s">
        <v>51</v>
      </c>
      <c r="G339" s="4" t="s">
        <v>135</v>
      </c>
      <c r="H339" s="5">
        <v>48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5" x14ac:dyDescent="0.25">
      <c r="A340" s="5">
        <v>337</v>
      </c>
      <c r="B340" s="6">
        <v>45324</v>
      </c>
      <c r="C340" s="4" t="s">
        <v>44</v>
      </c>
      <c r="D340" s="4" t="s">
        <v>45</v>
      </c>
      <c r="E340" s="4" t="s">
        <v>48</v>
      </c>
      <c r="F340" s="4" t="s">
        <v>47</v>
      </c>
      <c r="G340" s="4" t="s">
        <v>136</v>
      </c>
      <c r="H340" s="4" t="s">
        <v>44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5" x14ac:dyDescent="0.25">
      <c r="A341" s="5">
        <v>338</v>
      </c>
      <c r="B341" s="6">
        <v>45339</v>
      </c>
      <c r="C341" s="4" t="s">
        <v>44</v>
      </c>
      <c r="D341" s="4" t="s">
        <v>45</v>
      </c>
      <c r="E341" s="4" t="s">
        <v>48</v>
      </c>
      <c r="F341" s="4" t="s">
        <v>49</v>
      </c>
      <c r="G341" s="4" t="s">
        <v>135</v>
      </c>
      <c r="H341" s="4" t="s">
        <v>44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5" x14ac:dyDescent="0.25">
      <c r="A342" s="5">
        <v>339</v>
      </c>
      <c r="B342" s="6">
        <v>45297</v>
      </c>
      <c r="C342" s="4" t="s">
        <v>44</v>
      </c>
      <c r="D342" s="4" t="s">
        <v>45</v>
      </c>
      <c r="E342" s="4" t="s">
        <v>46</v>
      </c>
      <c r="F342" s="4" t="s">
        <v>51</v>
      </c>
      <c r="G342" s="4" t="s">
        <v>135</v>
      </c>
      <c r="H342" s="4" t="s">
        <v>44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5" x14ac:dyDescent="0.25">
      <c r="A343" s="5">
        <v>340</v>
      </c>
      <c r="B343" s="6">
        <v>45335</v>
      </c>
      <c r="C343" s="4" t="s">
        <v>44</v>
      </c>
      <c r="D343" s="4" t="s">
        <v>45</v>
      </c>
      <c r="E343" s="4" t="s">
        <v>48</v>
      </c>
      <c r="F343" s="4" t="s">
        <v>47</v>
      </c>
      <c r="G343" s="4" t="s">
        <v>135</v>
      </c>
      <c r="H343" s="4" t="s">
        <v>44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5" x14ac:dyDescent="0.25">
      <c r="A344" s="5">
        <v>341</v>
      </c>
      <c r="B344" s="6">
        <v>45305</v>
      </c>
      <c r="C344" s="4" t="s">
        <v>44</v>
      </c>
      <c r="D344" s="4" t="s">
        <v>45</v>
      </c>
      <c r="E344" s="4" t="s">
        <v>46</v>
      </c>
      <c r="F344" s="4" t="s">
        <v>47</v>
      </c>
      <c r="G344" s="4" t="s">
        <v>136</v>
      </c>
      <c r="H344" s="4" t="s">
        <v>44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5" x14ac:dyDescent="0.25">
      <c r="A345" s="5">
        <v>342</v>
      </c>
      <c r="B345" s="6">
        <v>45330</v>
      </c>
      <c r="C345" s="6">
        <v>45336</v>
      </c>
      <c r="D345" s="4" t="s">
        <v>50</v>
      </c>
      <c r="E345" s="4" t="s">
        <v>48</v>
      </c>
      <c r="F345" s="4" t="s">
        <v>49</v>
      </c>
      <c r="G345" s="4" t="s">
        <v>136</v>
      </c>
      <c r="H345" s="5">
        <v>144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5" x14ac:dyDescent="0.25">
      <c r="A346" s="5">
        <v>343</v>
      </c>
      <c r="B346" s="6">
        <v>45380</v>
      </c>
      <c r="C346" s="6">
        <v>45386</v>
      </c>
      <c r="D346" s="4" t="s">
        <v>50</v>
      </c>
      <c r="E346" s="4" t="s">
        <v>48</v>
      </c>
      <c r="F346" s="4" t="s">
        <v>51</v>
      </c>
      <c r="G346" s="4" t="s">
        <v>136</v>
      </c>
      <c r="H346" s="5">
        <v>144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5" x14ac:dyDescent="0.25">
      <c r="A347" s="5">
        <v>344</v>
      </c>
      <c r="B347" s="6">
        <v>45378</v>
      </c>
      <c r="C347" s="6">
        <v>45381</v>
      </c>
      <c r="D347" s="4" t="s">
        <v>50</v>
      </c>
      <c r="E347" s="4" t="s">
        <v>48</v>
      </c>
      <c r="F347" s="4" t="s">
        <v>47</v>
      </c>
      <c r="G347" s="4" t="s">
        <v>136</v>
      </c>
      <c r="H347" s="5">
        <v>72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5" x14ac:dyDescent="0.25">
      <c r="A348" s="5">
        <v>345</v>
      </c>
      <c r="B348" s="6">
        <v>45344</v>
      </c>
      <c r="C348" s="4" t="s">
        <v>44</v>
      </c>
      <c r="D348" s="4" t="s">
        <v>45</v>
      </c>
      <c r="E348" s="4" t="s">
        <v>48</v>
      </c>
      <c r="F348" s="4" t="s">
        <v>47</v>
      </c>
      <c r="G348" s="4" t="s">
        <v>136</v>
      </c>
      <c r="H348" s="4" t="s">
        <v>44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5" x14ac:dyDescent="0.25">
      <c r="A349" s="5">
        <v>346</v>
      </c>
      <c r="B349" s="6">
        <v>45324</v>
      </c>
      <c r="C349" s="4" t="s">
        <v>44</v>
      </c>
      <c r="D349" s="4" t="s">
        <v>45</v>
      </c>
      <c r="E349" s="4" t="s">
        <v>46</v>
      </c>
      <c r="F349" s="4" t="s">
        <v>47</v>
      </c>
      <c r="G349" s="4" t="s">
        <v>136</v>
      </c>
      <c r="H349" s="4" t="s">
        <v>44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5" x14ac:dyDescent="0.25">
      <c r="A350" s="5">
        <v>347</v>
      </c>
      <c r="B350" s="6">
        <v>45369</v>
      </c>
      <c r="C350" s="4" t="s">
        <v>44</v>
      </c>
      <c r="D350" s="4" t="s">
        <v>45</v>
      </c>
      <c r="E350" s="4" t="s">
        <v>48</v>
      </c>
      <c r="F350" s="4" t="s">
        <v>47</v>
      </c>
      <c r="G350" s="4" t="s">
        <v>135</v>
      </c>
      <c r="H350" s="4" t="s">
        <v>44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5" x14ac:dyDescent="0.25">
      <c r="A351" s="5">
        <v>348</v>
      </c>
      <c r="B351" s="6">
        <v>45382</v>
      </c>
      <c r="C351" s="4" t="s">
        <v>44</v>
      </c>
      <c r="D351" s="4" t="s">
        <v>45</v>
      </c>
      <c r="E351" s="4" t="s">
        <v>46</v>
      </c>
      <c r="F351" s="4" t="s">
        <v>51</v>
      </c>
      <c r="G351" s="4" t="s">
        <v>136</v>
      </c>
      <c r="H351" s="4" t="s">
        <v>44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5" x14ac:dyDescent="0.25">
      <c r="A352" s="5">
        <v>349</v>
      </c>
      <c r="B352" s="6">
        <v>45317</v>
      </c>
      <c r="C352" s="4" t="s">
        <v>44</v>
      </c>
      <c r="D352" s="4" t="s">
        <v>45</v>
      </c>
      <c r="E352" s="4" t="s">
        <v>46</v>
      </c>
      <c r="F352" s="4" t="s">
        <v>47</v>
      </c>
      <c r="G352" s="4" t="s">
        <v>136</v>
      </c>
      <c r="H352" s="4" t="s">
        <v>44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5" x14ac:dyDescent="0.25">
      <c r="A353" s="5">
        <v>350</v>
      </c>
      <c r="B353" s="6">
        <v>45346</v>
      </c>
      <c r="C353" s="4" t="s">
        <v>44</v>
      </c>
      <c r="D353" s="4" t="s">
        <v>45</v>
      </c>
      <c r="E353" s="4" t="s">
        <v>46</v>
      </c>
      <c r="F353" s="4" t="s">
        <v>47</v>
      </c>
      <c r="G353" s="4" t="s">
        <v>135</v>
      </c>
      <c r="H353" s="4" t="s">
        <v>44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5" x14ac:dyDescent="0.25">
      <c r="A354" s="5">
        <v>351</v>
      </c>
      <c r="B354" s="6">
        <v>45295</v>
      </c>
      <c r="C354" s="4" t="s">
        <v>44</v>
      </c>
      <c r="D354" s="4" t="s">
        <v>45</v>
      </c>
      <c r="E354" s="4" t="s">
        <v>48</v>
      </c>
      <c r="F354" s="4" t="s">
        <v>49</v>
      </c>
      <c r="G354" s="4" t="s">
        <v>135</v>
      </c>
      <c r="H354" s="4" t="s">
        <v>44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5" x14ac:dyDescent="0.25">
      <c r="A355" s="5">
        <v>352</v>
      </c>
      <c r="B355" s="6">
        <v>45362</v>
      </c>
      <c r="C355" s="4" t="s">
        <v>44</v>
      </c>
      <c r="D355" s="4" t="s">
        <v>45</v>
      </c>
      <c r="E355" s="4" t="s">
        <v>48</v>
      </c>
      <c r="F355" s="4" t="s">
        <v>49</v>
      </c>
      <c r="G355" s="4" t="s">
        <v>135</v>
      </c>
      <c r="H355" s="4" t="s">
        <v>44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5" x14ac:dyDescent="0.25">
      <c r="A356" s="5">
        <v>353</v>
      </c>
      <c r="B356" s="6">
        <v>45302</v>
      </c>
      <c r="C356" s="6">
        <v>45304</v>
      </c>
      <c r="D356" s="4" t="s">
        <v>50</v>
      </c>
      <c r="E356" s="4" t="s">
        <v>48</v>
      </c>
      <c r="F356" s="4" t="s">
        <v>49</v>
      </c>
      <c r="G356" s="4" t="s">
        <v>135</v>
      </c>
      <c r="H356" s="5">
        <v>48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5" x14ac:dyDescent="0.25">
      <c r="A357" s="5">
        <v>354</v>
      </c>
      <c r="B357" s="6">
        <v>45338</v>
      </c>
      <c r="C357" s="4" t="s">
        <v>44</v>
      </c>
      <c r="D357" s="4" t="s">
        <v>45</v>
      </c>
      <c r="E357" s="4" t="s">
        <v>46</v>
      </c>
      <c r="F357" s="4" t="s">
        <v>51</v>
      </c>
      <c r="G357" s="4" t="s">
        <v>135</v>
      </c>
      <c r="H357" s="4" t="s">
        <v>44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5" x14ac:dyDescent="0.25">
      <c r="A358" s="5">
        <v>355</v>
      </c>
      <c r="B358" s="6">
        <v>45364</v>
      </c>
      <c r="C358" s="6">
        <v>45372</v>
      </c>
      <c r="D358" s="4" t="s">
        <v>50</v>
      </c>
      <c r="E358" s="4" t="s">
        <v>46</v>
      </c>
      <c r="F358" s="4" t="s">
        <v>49</v>
      </c>
      <c r="G358" s="4" t="s">
        <v>135</v>
      </c>
      <c r="H358" s="5">
        <v>192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5" x14ac:dyDescent="0.25">
      <c r="A359" s="5">
        <v>356</v>
      </c>
      <c r="B359" s="6">
        <v>45329</v>
      </c>
      <c r="C359" s="4" t="s">
        <v>44</v>
      </c>
      <c r="D359" s="4" t="s">
        <v>45</v>
      </c>
      <c r="E359" s="4" t="s">
        <v>48</v>
      </c>
      <c r="F359" s="4" t="s">
        <v>47</v>
      </c>
      <c r="G359" s="4" t="s">
        <v>136</v>
      </c>
      <c r="H359" s="4" t="s">
        <v>44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5" x14ac:dyDescent="0.25">
      <c r="A360" s="5">
        <v>357</v>
      </c>
      <c r="B360" s="6">
        <v>45317</v>
      </c>
      <c r="C360" s="4" t="s">
        <v>44</v>
      </c>
      <c r="D360" s="4" t="s">
        <v>45</v>
      </c>
      <c r="E360" s="4" t="s">
        <v>48</v>
      </c>
      <c r="F360" s="4" t="s">
        <v>47</v>
      </c>
      <c r="G360" s="4" t="s">
        <v>135</v>
      </c>
      <c r="H360" s="4" t="s">
        <v>44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5" x14ac:dyDescent="0.25">
      <c r="A361" s="5">
        <v>358</v>
      </c>
      <c r="B361" s="6">
        <v>45322</v>
      </c>
      <c r="C361" s="4" t="s">
        <v>44</v>
      </c>
      <c r="D361" s="4" t="s">
        <v>45</v>
      </c>
      <c r="E361" s="4" t="s">
        <v>48</v>
      </c>
      <c r="F361" s="4" t="s">
        <v>49</v>
      </c>
      <c r="G361" s="4" t="s">
        <v>135</v>
      </c>
      <c r="H361" s="4" t="s">
        <v>44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5" x14ac:dyDescent="0.25">
      <c r="A362" s="5">
        <v>359</v>
      </c>
      <c r="B362" s="6">
        <v>45293</v>
      </c>
      <c r="C362" s="4" t="s">
        <v>44</v>
      </c>
      <c r="D362" s="4" t="s">
        <v>45</v>
      </c>
      <c r="E362" s="4" t="s">
        <v>46</v>
      </c>
      <c r="F362" s="4" t="s">
        <v>47</v>
      </c>
      <c r="G362" s="4" t="s">
        <v>135</v>
      </c>
      <c r="H362" s="4" t="s">
        <v>44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5" x14ac:dyDescent="0.25">
      <c r="A363" s="5">
        <v>360</v>
      </c>
      <c r="B363" s="6">
        <v>45302</v>
      </c>
      <c r="C363" s="4" t="s">
        <v>44</v>
      </c>
      <c r="D363" s="4" t="s">
        <v>45</v>
      </c>
      <c r="E363" s="4" t="s">
        <v>46</v>
      </c>
      <c r="F363" s="4" t="s">
        <v>47</v>
      </c>
      <c r="G363" s="4" t="s">
        <v>136</v>
      </c>
      <c r="H363" s="4" t="s">
        <v>44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5" x14ac:dyDescent="0.25">
      <c r="A364" s="5">
        <v>361</v>
      </c>
      <c r="B364" s="6">
        <v>45304</v>
      </c>
      <c r="C364" s="7"/>
      <c r="D364" s="4" t="s">
        <v>50</v>
      </c>
      <c r="E364" s="4" t="s">
        <v>46</v>
      </c>
      <c r="F364" s="4" t="s">
        <v>51</v>
      </c>
      <c r="G364" s="4" t="s">
        <v>136</v>
      </c>
      <c r="H364" s="5">
        <v>24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5" x14ac:dyDescent="0.25">
      <c r="A365" s="5">
        <v>362</v>
      </c>
      <c r="B365" s="6">
        <v>45347</v>
      </c>
      <c r="C365" s="4" t="s">
        <v>44</v>
      </c>
      <c r="D365" s="4" t="s">
        <v>45</v>
      </c>
      <c r="E365" s="4" t="s">
        <v>46</v>
      </c>
      <c r="F365" s="4" t="s">
        <v>47</v>
      </c>
      <c r="G365" s="4" t="s">
        <v>136</v>
      </c>
      <c r="H365" s="4" t="s">
        <v>44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5" x14ac:dyDescent="0.25">
      <c r="A366" s="5">
        <v>363</v>
      </c>
      <c r="B366" s="6">
        <v>45307</v>
      </c>
      <c r="C366" s="6">
        <v>45310</v>
      </c>
      <c r="D366" s="4" t="s">
        <v>50</v>
      </c>
      <c r="E366" s="4" t="s">
        <v>48</v>
      </c>
      <c r="F366" s="4" t="s">
        <v>47</v>
      </c>
      <c r="G366" s="4" t="s">
        <v>136</v>
      </c>
      <c r="H366" s="5">
        <v>72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5" x14ac:dyDescent="0.25">
      <c r="A367" s="5">
        <v>364</v>
      </c>
      <c r="B367" s="6">
        <v>45332</v>
      </c>
      <c r="C367" s="4" t="s">
        <v>44</v>
      </c>
      <c r="D367" s="4" t="s">
        <v>45</v>
      </c>
      <c r="E367" s="4" t="s">
        <v>48</v>
      </c>
      <c r="F367" s="4" t="s">
        <v>49</v>
      </c>
      <c r="G367" s="4" t="s">
        <v>135</v>
      </c>
      <c r="H367" s="4" t="s">
        <v>44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5" x14ac:dyDescent="0.25">
      <c r="A368" s="5">
        <v>365</v>
      </c>
      <c r="B368" s="6">
        <v>45320</v>
      </c>
      <c r="C368" s="6">
        <v>45323</v>
      </c>
      <c r="D368" s="4" t="s">
        <v>50</v>
      </c>
      <c r="E368" s="4" t="s">
        <v>46</v>
      </c>
      <c r="F368" s="4" t="s">
        <v>49</v>
      </c>
      <c r="G368" s="4" t="s">
        <v>136</v>
      </c>
      <c r="H368" s="5">
        <v>72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5" x14ac:dyDescent="0.25">
      <c r="A369" s="5">
        <v>366</v>
      </c>
      <c r="B369" s="6">
        <v>45320</v>
      </c>
      <c r="C369" s="6">
        <v>45325</v>
      </c>
      <c r="D369" s="4" t="s">
        <v>50</v>
      </c>
      <c r="E369" s="4" t="s">
        <v>46</v>
      </c>
      <c r="F369" s="4" t="s">
        <v>47</v>
      </c>
      <c r="G369" s="4" t="s">
        <v>136</v>
      </c>
      <c r="H369" s="5">
        <v>120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5" x14ac:dyDescent="0.25">
      <c r="A370" s="5">
        <v>367</v>
      </c>
      <c r="B370" s="6">
        <v>45362</v>
      </c>
      <c r="C370" s="4" t="s">
        <v>44</v>
      </c>
      <c r="D370" s="4" t="s">
        <v>45</v>
      </c>
      <c r="E370" s="4" t="s">
        <v>46</v>
      </c>
      <c r="F370" s="4" t="s">
        <v>47</v>
      </c>
      <c r="G370" s="4" t="s">
        <v>136</v>
      </c>
      <c r="H370" s="4" t="s">
        <v>44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5" x14ac:dyDescent="0.25">
      <c r="A371" s="5">
        <v>368</v>
      </c>
      <c r="B371" s="6">
        <v>45321</v>
      </c>
      <c r="C371" s="4" t="s">
        <v>44</v>
      </c>
      <c r="D371" s="4" t="s">
        <v>45</v>
      </c>
      <c r="E371" s="4" t="s">
        <v>46</v>
      </c>
      <c r="F371" s="4" t="s">
        <v>47</v>
      </c>
      <c r="G371" s="4" t="s">
        <v>135</v>
      </c>
      <c r="H371" s="4" t="s">
        <v>44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5" x14ac:dyDescent="0.25">
      <c r="A372" s="5">
        <v>369</v>
      </c>
      <c r="B372" s="6">
        <v>45375</v>
      </c>
      <c r="C372" s="4" t="s">
        <v>44</v>
      </c>
      <c r="D372" s="4" t="s">
        <v>45</v>
      </c>
      <c r="E372" s="4" t="s">
        <v>48</v>
      </c>
      <c r="F372" s="4" t="s">
        <v>47</v>
      </c>
      <c r="G372" s="4" t="s">
        <v>136</v>
      </c>
      <c r="H372" s="4" t="s">
        <v>44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5" x14ac:dyDescent="0.25">
      <c r="A373" s="5">
        <v>370</v>
      </c>
      <c r="B373" s="6">
        <v>45309</v>
      </c>
      <c r="C373" s="4" t="s">
        <v>44</v>
      </c>
      <c r="D373" s="4" t="s">
        <v>45</v>
      </c>
      <c r="E373" s="4" t="s">
        <v>46</v>
      </c>
      <c r="F373" s="4" t="s">
        <v>47</v>
      </c>
      <c r="G373" s="4" t="s">
        <v>136</v>
      </c>
      <c r="H373" s="4" t="s">
        <v>44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5" x14ac:dyDescent="0.25">
      <c r="A374" s="5">
        <v>371</v>
      </c>
      <c r="B374" s="6">
        <v>45368</v>
      </c>
      <c r="C374" s="4" t="s">
        <v>44</v>
      </c>
      <c r="D374" s="4" t="s">
        <v>45</v>
      </c>
      <c r="E374" s="4" t="s">
        <v>46</v>
      </c>
      <c r="F374" s="4" t="s">
        <v>47</v>
      </c>
      <c r="G374" s="4" t="s">
        <v>136</v>
      </c>
      <c r="H374" s="4" t="s">
        <v>44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5" x14ac:dyDescent="0.25">
      <c r="A375" s="5">
        <v>372</v>
      </c>
      <c r="B375" s="6">
        <v>45366</v>
      </c>
      <c r="C375" s="4" t="s">
        <v>44</v>
      </c>
      <c r="D375" s="4" t="s">
        <v>45</v>
      </c>
      <c r="E375" s="4" t="s">
        <v>48</v>
      </c>
      <c r="F375" s="4" t="s">
        <v>49</v>
      </c>
      <c r="G375" s="4" t="s">
        <v>135</v>
      </c>
      <c r="H375" s="4" t="s">
        <v>44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5" x14ac:dyDescent="0.25">
      <c r="A376" s="5">
        <v>373</v>
      </c>
      <c r="B376" s="6">
        <v>45320</v>
      </c>
      <c r="C376" s="4" t="s">
        <v>44</v>
      </c>
      <c r="D376" s="4" t="s">
        <v>45</v>
      </c>
      <c r="E376" s="4" t="s">
        <v>48</v>
      </c>
      <c r="F376" s="4" t="s">
        <v>51</v>
      </c>
      <c r="G376" s="4" t="s">
        <v>136</v>
      </c>
      <c r="H376" s="4" t="s">
        <v>44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5" x14ac:dyDescent="0.25">
      <c r="A377" s="5">
        <v>374</v>
      </c>
      <c r="B377" s="6">
        <v>45344</v>
      </c>
      <c r="C377" s="4" t="s">
        <v>44</v>
      </c>
      <c r="D377" s="4" t="s">
        <v>45</v>
      </c>
      <c r="E377" s="4" t="s">
        <v>48</v>
      </c>
      <c r="F377" s="4" t="s">
        <v>49</v>
      </c>
      <c r="G377" s="4" t="s">
        <v>136</v>
      </c>
      <c r="H377" s="4" t="s">
        <v>44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5" x14ac:dyDescent="0.25">
      <c r="A378" s="5">
        <v>375</v>
      </c>
      <c r="B378" s="6">
        <v>45335</v>
      </c>
      <c r="C378" s="6">
        <v>45339</v>
      </c>
      <c r="D378" s="4" t="s">
        <v>50</v>
      </c>
      <c r="E378" s="4" t="s">
        <v>46</v>
      </c>
      <c r="F378" s="4" t="s">
        <v>47</v>
      </c>
      <c r="G378" s="4" t="s">
        <v>136</v>
      </c>
      <c r="H378" s="5">
        <v>96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5" x14ac:dyDescent="0.25">
      <c r="A379" s="5">
        <v>376</v>
      </c>
      <c r="B379" s="6">
        <v>45292</v>
      </c>
      <c r="C379" s="4" t="s">
        <v>44</v>
      </c>
      <c r="D379" s="4" t="s">
        <v>45</v>
      </c>
      <c r="E379" s="4" t="s">
        <v>46</v>
      </c>
      <c r="F379" s="4" t="s">
        <v>47</v>
      </c>
      <c r="G379" s="4" t="s">
        <v>135</v>
      </c>
      <c r="H379" s="4" t="s">
        <v>44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5" x14ac:dyDescent="0.25">
      <c r="A380" s="5">
        <v>377</v>
      </c>
      <c r="B380" s="6">
        <v>45328</v>
      </c>
      <c r="C380" s="4" t="s">
        <v>44</v>
      </c>
      <c r="D380" s="4" t="s">
        <v>45</v>
      </c>
      <c r="E380" s="4" t="s">
        <v>48</v>
      </c>
      <c r="F380" s="4" t="s">
        <v>49</v>
      </c>
      <c r="G380" s="4" t="s">
        <v>136</v>
      </c>
      <c r="H380" s="4" t="s">
        <v>44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5" x14ac:dyDescent="0.25">
      <c r="A381" s="5">
        <v>378</v>
      </c>
      <c r="B381" s="6">
        <v>45358</v>
      </c>
      <c r="C381" s="4" t="s">
        <v>44</v>
      </c>
      <c r="D381" s="4" t="s">
        <v>45</v>
      </c>
      <c r="E381" s="4" t="s">
        <v>48</v>
      </c>
      <c r="F381" s="4" t="s">
        <v>49</v>
      </c>
      <c r="G381" s="4" t="s">
        <v>135</v>
      </c>
      <c r="H381" s="4" t="s">
        <v>44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5" x14ac:dyDescent="0.25">
      <c r="A382" s="5">
        <v>379</v>
      </c>
      <c r="B382" s="6">
        <v>45332</v>
      </c>
      <c r="C382" s="4" t="s">
        <v>44</v>
      </c>
      <c r="D382" s="4" t="s">
        <v>45</v>
      </c>
      <c r="E382" s="4" t="s">
        <v>46</v>
      </c>
      <c r="F382" s="4" t="s">
        <v>49</v>
      </c>
      <c r="G382" s="4" t="s">
        <v>135</v>
      </c>
      <c r="H382" s="4" t="s">
        <v>44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5" x14ac:dyDescent="0.25">
      <c r="A383" s="5">
        <v>380</v>
      </c>
      <c r="B383" s="6">
        <v>45370</v>
      </c>
      <c r="C383" s="6">
        <v>45374</v>
      </c>
      <c r="D383" s="4" t="s">
        <v>50</v>
      </c>
      <c r="E383" s="4" t="s">
        <v>48</v>
      </c>
      <c r="F383" s="4" t="s">
        <v>51</v>
      </c>
      <c r="G383" s="4" t="s">
        <v>136</v>
      </c>
      <c r="H383" s="5">
        <v>96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5" x14ac:dyDescent="0.25">
      <c r="A384" s="5">
        <v>381</v>
      </c>
      <c r="B384" s="6">
        <v>45380</v>
      </c>
      <c r="C384" s="4" t="s">
        <v>44</v>
      </c>
      <c r="D384" s="4" t="s">
        <v>45</v>
      </c>
      <c r="E384" s="4" t="s">
        <v>48</v>
      </c>
      <c r="F384" s="4" t="s">
        <v>49</v>
      </c>
      <c r="G384" s="4" t="s">
        <v>135</v>
      </c>
      <c r="H384" s="4" t="s">
        <v>44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5" x14ac:dyDescent="0.25">
      <c r="A385" s="5">
        <v>382</v>
      </c>
      <c r="B385" s="6">
        <v>45299</v>
      </c>
      <c r="C385" s="4" t="s">
        <v>44</v>
      </c>
      <c r="D385" s="4" t="s">
        <v>45</v>
      </c>
      <c r="E385" s="4" t="s">
        <v>46</v>
      </c>
      <c r="F385" s="4" t="s">
        <v>51</v>
      </c>
      <c r="G385" s="4" t="s">
        <v>135</v>
      </c>
      <c r="H385" s="4" t="s">
        <v>44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5" x14ac:dyDescent="0.25">
      <c r="A386" s="5">
        <v>383</v>
      </c>
      <c r="B386" s="6">
        <v>45299</v>
      </c>
      <c r="C386" s="4" t="s">
        <v>44</v>
      </c>
      <c r="D386" s="4" t="s">
        <v>45</v>
      </c>
      <c r="E386" s="4" t="s">
        <v>48</v>
      </c>
      <c r="F386" s="4" t="s">
        <v>49</v>
      </c>
      <c r="G386" s="4" t="s">
        <v>135</v>
      </c>
      <c r="H386" s="4" t="s">
        <v>44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5" x14ac:dyDescent="0.25">
      <c r="A387" s="5">
        <v>384</v>
      </c>
      <c r="B387" s="6">
        <v>45362</v>
      </c>
      <c r="C387" s="4" t="s">
        <v>44</v>
      </c>
      <c r="D387" s="4" t="s">
        <v>45</v>
      </c>
      <c r="E387" s="4" t="s">
        <v>46</v>
      </c>
      <c r="F387" s="4" t="s">
        <v>49</v>
      </c>
      <c r="G387" s="4" t="s">
        <v>135</v>
      </c>
      <c r="H387" s="4" t="s">
        <v>44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5" x14ac:dyDescent="0.25">
      <c r="A388" s="5">
        <v>385</v>
      </c>
      <c r="B388" s="6">
        <v>45372</v>
      </c>
      <c r="C388" s="4" t="s">
        <v>44</v>
      </c>
      <c r="D388" s="4" t="s">
        <v>45</v>
      </c>
      <c r="E388" s="4" t="s">
        <v>48</v>
      </c>
      <c r="F388" s="4" t="s">
        <v>51</v>
      </c>
      <c r="G388" s="4" t="s">
        <v>136</v>
      </c>
      <c r="H388" s="4" t="s">
        <v>44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5" x14ac:dyDescent="0.25">
      <c r="A389" s="5">
        <v>386</v>
      </c>
      <c r="B389" s="6">
        <v>45312</v>
      </c>
      <c r="C389" s="4" t="s">
        <v>44</v>
      </c>
      <c r="D389" s="4" t="s">
        <v>45</v>
      </c>
      <c r="E389" s="4" t="s">
        <v>46</v>
      </c>
      <c r="F389" s="4" t="s">
        <v>51</v>
      </c>
      <c r="G389" s="4" t="s">
        <v>136</v>
      </c>
      <c r="H389" s="4" t="s">
        <v>44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5" x14ac:dyDescent="0.25">
      <c r="A390" s="5">
        <v>387</v>
      </c>
      <c r="B390" s="6">
        <v>45341</v>
      </c>
      <c r="C390" s="4" t="s">
        <v>44</v>
      </c>
      <c r="D390" s="4" t="s">
        <v>45</v>
      </c>
      <c r="E390" s="4" t="s">
        <v>48</v>
      </c>
      <c r="F390" s="4" t="s">
        <v>47</v>
      </c>
      <c r="G390" s="4" t="s">
        <v>135</v>
      </c>
      <c r="H390" s="4" t="s">
        <v>44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5" x14ac:dyDescent="0.25">
      <c r="A391" s="5">
        <v>388</v>
      </c>
      <c r="B391" s="6">
        <v>45317</v>
      </c>
      <c r="C391" s="7"/>
      <c r="D391" s="4" t="s">
        <v>45</v>
      </c>
      <c r="E391" s="4" t="s">
        <v>46</v>
      </c>
      <c r="F391" s="4" t="s">
        <v>47</v>
      </c>
      <c r="G391" s="4" t="s">
        <v>135</v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5" x14ac:dyDescent="0.25">
      <c r="A392" s="5">
        <v>389</v>
      </c>
      <c r="B392" s="6">
        <v>45347</v>
      </c>
      <c r="C392" s="4" t="s">
        <v>44</v>
      </c>
      <c r="D392" s="4" t="s">
        <v>45</v>
      </c>
      <c r="E392" s="4" t="s">
        <v>46</v>
      </c>
      <c r="F392" s="4" t="s">
        <v>47</v>
      </c>
      <c r="G392" s="4" t="s">
        <v>135</v>
      </c>
      <c r="H392" s="4" t="s">
        <v>44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5" x14ac:dyDescent="0.25">
      <c r="A393" s="5">
        <v>390</v>
      </c>
      <c r="B393" s="6">
        <v>45369</v>
      </c>
      <c r="C393" s="4" t="s">
        <v>44</v>
      </c>
      <c r="D393" s="4" t="s">
        <v>45</v>
      </c>
      <c r="E393" s="4" t="s">
        <v>46</v>
      </c>
      <c r="F393" s="4" t="s">
        <v>49</v>
      </c>
      <c r="G393" s="4" t="s">
        <v>135</v>
      </c>
      <c r="H393" s="4" t="s">
        <v>44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5" x14ac:dyDescent="0.25">
      <c r="A394" s="5">
        <v>391</v>
      </c>
      <c r="B394" s="6">
        <v>45338</v>
      </c>
      <c r="C394" s="4" t="s">
        <v>44</v>
      </c>
      <c r="D394" s="4" t="s">
        <v>45</v>
      </c>
      <c r="E394" s="4" t="s">
        <v>48</v>
      </c>
      <c r="F394" s="4" t="s">
        <v>47</v>
      </c>
      <c r="G394" s="4" t="s">
        <v>136</v>
      </c>
      <c r="H394" s="4" t="s">
        <v>44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5" x14ac:dyDescent="0.25">
      <c r="A395" s="5">
        <v>392</v>
      </c>
      <c r="B395" s="6">
        <v>45322</v>
      </c>
      <c r="C395" s="4" t="s">
        <v>44</v>
      </c>
      <c r="D395" s="4" t="s">
        <v>45</v>
      </c>
      <c r="E395" s="4" t="s">
        <v>48</v>
      </c>
      <c r="F395" s="4" t="s">
        <v>47</v>
      </c>
      <c r="G395" s="4" t="s">
        <v>136</v>
      </c>
      <c r="H395" s="4" t="s">
        <v>44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5" x14ac:dyDescent="0.25">
      <c r="A396" s="5">
        <v>393</v>
      </c>
      <c r="B396" s="6">
        <v>45317</v>
      </c>
      <c r="C396" s="4" t="s">
        <v>44</v>
      </c>
      <c r="D396" s="4" t="s">
        <v>45</v>
      </c>
      <c r="E396" s="4" t="s">
        <v>46</v>
      </c>
      <c r="F396" s="4" t="s">
        <v>49</v>
      </c>
      <c r="G396" s="4" t="s">
        <v>135</v>
      </c>
      <c r="H396" s="4" t="s">
        <v>44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5" x14ac:dyDescent="0.25">
      <c r="A397" s="5">
        <v>394</v>
      </c>
      <c r="B397" s="6">
        <v>45307</v>
      </c>
      <c r="C397" s="4" t="s">
        <v>44</v>
      </c>
      <c r="D397" s="4" t="s">
        <v>45</v>
      </c>
      <c r="E397" s="4" t="s">
        <v>46</v>
      </c>
      <c r="F397" s="4" t="s">
        <v>47</v>
      </c>
      <c r="G397" s="4" t="s">
        <v>135</v>
      </c>
      <c r="H397" s="4" t="s">
        <v>44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5" x14ac:dyDescent="0.25">
      <c r="A398" s="5">
        <v>395</v>
      </c>
      <c r="B398" s="6">
        <v>45313</v>
      </c>
      <c r="C398" s="4" t="s">
        <v>44</v>
      </c>
      <c r="D398" s="4" t="s">
        <v>45</v>
      </c>
      <c r="E398" s="4" t="s">
        <v>46</v>
      </c>
      <c r="F398" s="4" t="s">
        <v>49</v>
      </c>
      <c r="G398" s="4" t="s">
        <v>136</v>
      </c>
      <c r="H398" s="4" t="s">
        <v>44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5" x14ac:dyDescent="0.25">
      <c r="A399" s="5">
        <v>396</v>
      </c>
      <c r="B399" s="6">
        <v>45300</v>
      </c>
      <c r="C399" s="4" t="s">
        <v>44</v>
      </c>
      <c r="D399" s="4" t="s">
        <v>45</v>
      </c>
      <c r="E399" s="4" t="s">
        <v>48</v>
      </c>
      <c r="F399" s="4" t="s">
        <v>49</v>
      </c>
      <c r="G399" s="4" t="s">
        <v>135</v>
      </c>
      <c r="H399" s="4" t="s">
        <v>44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5" x14ac:dyDescent="0.25">
      <c r="A400" s="5">
        <v>397</v>
      </c>
      <c r="B400" s="6">
        <v>45292</v>
      </c>
      <c r="C400" s="4" t="s">
        <v>44</v>
      </c>
      <c r="D400" s="4" t="s">
        <v>45</v>
      </c>
      <c r="E400" s="4" t="s">
        <v>46</v>
      </c>
      <c r="F400" s="4" t="s">
        <v>47</v>
      </c>
      <c r="G400" s="4" t="s">
        <v>136</v>
      </c>
      <c r="H400" s="4" t="s">
        <v>44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5" x14ac:dyDescent="0.25">
      <c r="A401" s="5">
        <v>398</v>
      </c>
      <c r="B401" s="6">
        <v>45381</v>
      </c>
      <c r="C401" s="4" t="s">
        <v>44</v>
      </c>
      <c r="D401" s="4" t="s">
        <v>45</v>
      </c>
      <c r="E401" s="4" t="s">
        <v>48</v>
      </c>
      <c r="F401" s="4" t="s">
        <v>47</v>
      </c>
      <c r="G401" s="4" t="s">
        <v>135</v>
      </c>
      <c r="H401" s="4" t="s">
        <v>44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5" x14ac:dyDescent="0.25">
      <c r="A402" s="5">
        <v>399</v>
      </c>
      <c r="B402" s="6">
        <v>45328</v>
      </c>
      <c r="C402" s="4" t="s">
        <v>44</v>
      </c>
      <c r="D402" s="4" t="s">
        <v>45</v>
      </c>
      <c r="E402" s="4" t="s">
        <v>46</v>
      </c>
      <c r="F402" s="4" t="s">
        <v>47</v>
      </c>
      <c r="G402" s="4" t="s">
        <v>135</v>
      </c>
      <c r="H402" s="4" t="s">
        <v>44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</sheetData>
  <mergeCells count="1">
    <mergeCell ref="A1:H1"/>
  </mergeCells>
  <dataValidations count="4">
    <dataValidation type="list" allowBlank="1" showErrorMessage="1" sqref="D4:D402" xr:uid="{00000000-0002-0000-0100-000000000000}">
      <formula1>"Open,Closed"</formula1>
    </dataValidation>
    <dataValidation type="list" allowBlank="1" showErrorMessage="1" sqref="E4:E402" xr:uid="{00000000-0002-0000-0100-000001000000}">
      <formula1>"Series,Movie"</formula1>
    </dataValidation>
    <dataValidation type="list" allowBlank="1" showErrorMessage="1" sqref="F4:F402" xr:uid="{00000000-0002-0000-0100-000002000000}">
      <formula1>"Medium,High,Low"</formula1>
    </dataValidation>
    <dataValidation type="list" allowBlank="1" showErrorMessage="1" sqref="G4:G402" xr:uid="{00000000-0002-0000-0100-000003000000}">
      <formula1>"Team A,Team B"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3"/>
  <sheetViews>
    <sheetView zoomScaleNormal="100" workbookViewId="0">
      <selection activeCell="C10" sqref="C10"/>
    </sheetView>
  </sheetViews>
  <sheetFormatPr baseColWidth="10" defaultColWidth="12.6328125" defaultRowHeight="15.75" customHeight="1" x14ac:dyDescent="0.25"/>
  <cols>
    <col min="1" max="1" width="19" customWidth="1"/>
    <col min="2" max="2" width="31.36328125" customWidth="1"/>
    <col min="3" max="3" width="56.08984375" customWidth="1"/>
    <col min="6" max="6" width="60" customWidth="1"/>
  </cols>
  <sheetData>
    <row r="1" spans="1:6" ht="19" customHeight="1" thickBot="1" x14ac:dyDescent="0.3">
      <c r="A1" s="121" t="s">
        <v>52</v>
      </c>
      <c r="B1" s="121"/>
      <c r="C1" s="121"/>
      <c r="D1" s="121"/>
      <c r="E1" s="121"/>
      <c r="F1" s="121"/>
    </row>
    <row r="2" spans="1:6" ht="13" x14ac:dyDescent="0.3">
      <c r="A2" s="1"/>
      <c r="B2" s="9"/>
      <c r="C2" s="10"/>
      <c r="D2" s="10"/>
      <c r="E2" s="10"/>
      <c r="F2" s="10"/>
    </row>
    <row r="3" spans="1:6" ht="14.5" thickBot="1" x14ac:dyDescent="0.35">
      <c r="A3" s="135" t="s">
        <v>53</v>
      </c>
      <c r="B3" s="135"/>
      <c r="C3" s="16"/>
      <c r="D3" s="16"/>
      <c r="E3" s="16"/>
      <c r="F3" s="16"/>
    </row>
    <row r="4" spans="1:6" ht="14" x14ac:dyDescent="0.3">
      <c r="A4" s="94" t="s">
        <v>54</v>
      </c>
      <c r="B4" s="95">
        <v>399</v>
      </c>
      <c r="C4" s="16"/>
      <c r="D4" s="16"/>
      <c r="E4" s="16"/>
      <c r="F4" s="16"/>
    </row>
    <row r="5" spans="1:6" ht="14" x14ac:dyDescent="0.3">
      <c r="A5" s="96" t="s">
        <v>55</v>
      </c>
      <c r="B5" s="97">
        <v>10</v>
      </c>
      <c r="C5" s="16"/>
      <c r="D5" s="16"/>
      <c r="E5" s="16"/>
      <c r="F5" s="16"/>
    </row>
    <row r="6" spans="1:6" ht="14" x14ac:dyDescent="0.3">
      <c r="A6" s="96" t="s">
        <v>56</v>
      </c>
      <c r="B6" s="97">
        <v>8</v>
      </c>
      <c r="C6" s="16"/>
      <c r="D6" s="16"/>
      <c r="E6" s="16"/>
      <c r="F6" s="16"/>
    </row>
    <row r="7" spans="1:6" ht="14" x14ac:dyDescent="0.3">
      <c r="A7" s="96" t="s">
        <v>57</v>
      </c>
      <c r="B7" s="98">
        <v>2</v>
      </c>
      <c r="C7" s="16"/>
      <c r="D7" s="16"/>
      <c r="E7" s="16"/>
      <c r="F7" s="16"/>
    </row>
    <row r="8" spans="1:6" ht="14" x14ac:dyDescent="0.3">
      <c r="A8" s="34"/>
      <c r="B8" s="19"/>
      <c r="C8" s="16"/>
      <c r="D8" s="16"/>
      <c r="E8" s="16"/>
      <c r="F8" s="16"/>
    </row>
    <row r="9" spans="1:6" ht="14" x14ac:dyDescent="0.3">
      <c r="A9" s="21"/>
      <c r="B9" s="21"/>
      <c r="C9" s="22"/>
      <c r="D9" s="22"/>
      <c r="E9" s="22"/>
      <c r="F9" s="22"/>
    </row>
    <row r="10" spans="1:6" ht="14.5" thickBot="1" x14ac:dyDescent="0.35">
      <c r="A10" s="92" t="s">
        <v>58</v>
      </c>
      <c r="B10" s="93" t="s">
        <v>59</v>
      </c>
      <c r="C10" s="93" t="s">
        <v>60</v>
      </c>
      <c r="D10" s="92" t="s">
        <v>61</v>
      </c>
      <c r="E10" s="92" t="s">
        <v>62</v>
      </c>
      <c r="F10" s="93" t="s">
        <v>63</v>
      </c>
    </row>
    <row r="11" spans="1:6" ht="15.75" customHeight="1" x14ac:dyDescent="0.3">
      <c r="A11" s="130" t="s">
        <v>64</v>
      </c>
      <c r="B11" s="69" t="s">
        <v>65</v>
      </c>
      <c r="C11" s="69" t="s">
        <v>110</v>
      </c>
      <c r="D11" s="70">
        <f>COUNTA('00_Raw_Data'!A:A)-1</f>
        <v>400</v>
      </c>
      <c r="E11" s="71" t="s">
        <v>66</v>
      </c>
      <c r="F11" s="69"/>
    </row>
    <row r="12" spans="1:6" ht="15.75" customHeight="1" x14ac:dyDescent="0.3">
      <c r="A12" s="131"/>
      <c r="B12" s="72" t="s">
        <v>67</v>
      </c>
      <c r="C12" s="72" t="s">
        <v>111</v>
      </c>
      <c r="D12" s="72">
        <f>COUNTBLANK('00_Raw_Data'!A4:A402)</f>
        <v>0</v>
      </c>
      <c r="E12" s="73" t="s">
        <v>66</v>
      </c>
      <c r="F12" s="72"/>
    </row>
    <row r="13" spans="1:6" ht="22" customHeight="1" x14ac:dyDescent="0.3">
      <c r="A13" s="132"/>
      <c r="B13" s="74" t="s">
        <v>68</v>
      </c>
      <c r="C13" s="74" t="s">
        <v>112</v>
      </c>
      <c r="D13" s="74">
        <f>COUNTBLANK('00_Raw_Data'!B4:B402)</f>
        <v>0</v>
      </c>
      <c r="E13" s="75" t="s">
        <v>66</v>
      </c>
      <c r="F13" s="74"/>
    </row>
    <row r="14" spans="1:6" ht="15.75" customHeight="1" x14ac:dyDescent="0.3">
      <c r="A14" s="76" t="s">
        <v>69</v>
      </c>
      <c r="B14" s="77" t="s">
        <v>21</v>
      </c>
      <c r="C14" s="77" t="s">
        <v>113</v>
      </c>
      <c r="D14" s="77">
        <f t="array" aca="1" ref="D14" ca="1">COUNTA('00_Raw_Data'!A4:A1012)-COUNTA(_xludf.UNIQUE('00_Raw_Data'!A4:A1012))</f>
        <v>398</v>
      </c>
      <c r="E14" s="78" t="s">
        <v>66</v>
      </c>
      <c r="F14" s="79"/>
    </row>
    <row r="15" spans="1:6" ht="15.75" customHeight="1" x14ac:dyDescent="0.3">
      <c r="A15" s="133" t="s">
        <v>70</v>
      </c>
      <c r="B15" s="80" t="s">
        <v>71</v>
      </c>
      <c r="C15" s="80" t="s">
        <v>114</v>
      </c>
      <c r="D15" s="80">
        <f>COUNTIFS('00_Raw_Data'!D4:D402,"Closed",'00_Raw_Data'!C4:C402,"")</f>
        <v>4</v>
      </c>
      <c r="E15" s="81" t="s">
        <v>72</v>
      </c>
      <c r="F15" s="80" t="s">
        <v>120</v>
      </c>
    </row>
    <row r="16" spans="1:6" ht="15.75" customHeight="1" x14ac:dyDescent="0.3">
      <c r="A16" s="132"/>
      <c r="B16" s="74" t="s">
        <v>73</v>
      </c>
      <c r="C16" s="74" t="s">
        <v>115</v>
      </c>
      <c r="D16" s="74">
        <f t="array" ref="D16">SUM(IF(('00_Raw_Data'!C4:C402&lt;&gt;"")*('00_Raw_Data'!C4:C402&lt;'00_Raw_Data'!B4:B402),1,0))</f>
        <v>2</v>
      </c>
      <c r="E16" s="75" t="s">
        <v>72</v>
      </c>
      <c r="F16" s="74" t="s">
        <v>121</v>
      </c>
    </row>
    <row r="17" spans="1:6" ht="15.75" customHeight="1" x14ac:dyDescent="0.3">
      <c r="A17" s="134" t="s">
        <v>74</v>
      </c>
      <c r="B17" s="82" t="s">
        <v>75</v>
      </c>
      <c r="C17" s="82" t="s">
        <v>116</v>
      </c>
      <c r="D17" s="82">
        <f t="array" ref="D17">SUM(IF(('00_Raw_Data'!B4:B402&lt;&gt;"")*(NOT(ISNUMBER('00_Raw_Data'!B4:B402))),1,0))</f>
        <v>0</v>
      </c>
      <c r="E17" s="83" t="s">
        <v>66</v>
      </c>
      <c r="F17" s="84"/>
    </row>
    <row r="18" spans="1:6" ht="15.75" customHeight="1" x14ac:dyDescent="0.3">
      <c r="A18" s="131"/>
      <c r="B18" s="85" t="s">
        <v>76</v>
      </c>
      <c r="C18" s="85" t="s">
        <v>117</v>
      </c>
      <c r="D18" s="85">
        <f t="array" ref="D18">SUM(IF(('00_Raw_Data'!C4:C402&lt;&gt;"")*(NOT(ISNUMBER('00_Raw_Data'!C4:C402))),1,0))</f>
        <v>0</v>
      </c>
      <c r="E18" s="86" t="s">
        <v>66</v>
      </c>
      <c r="F18" s="87"/>
    </row>
    <row r="19" spans="1:6" ht="15.75" customHeight="1" x14ac:dyDescent="0.3">
      <c r="A19" s="131"/>
      <c r="B19" s="85" t="s">
        <v>77</v>
      </c>
      <c r="C19" s="85" t="s">
        <v>118</v>
      </c>
      <c r="D19" s="85">
        <f t="array" ref="D19">SUM(IF(('00_Raw_Data'!H4:H402&lt;&gt;"")*(NOT(ISNUMBER('00_Raw_Data'!H4:H402))),1,0))</f>
        <v>0</v>
      </c>
      <c r="E19" s="86" t="s">
        <v>66</v>
      </c>
      <c r="F19" s="87"/>
    </row>
    <row r="20" spans="1:6" ht="15.75" customHeight="1" x14ac:dyDescent="0.3">
      <c r="A20" s="131"/>
      <c r="B20" s="88" t="s">
        <v>78</v>
      </c>
      <c r="C20" s="88" t="s">
        <v>119</v>
      </c>
      <c r="D20" s="89">
        <f>COUNTIF('00_Raw_Data'!H4:H402,"&lt;0")</f>
        <v>0</v>
      </c>
      <c r="E20" s="90" t="s">
        <v>66</v>
      </c>
      <c r="F20" s="91"/>
    </row>
    <row r="21" spans="1:6" ht="15.75" customHeight="1" x14ac:dyDescent="0.25">
      <c r="A21" s="25"/>
      <c r="B21" s="25"/>
      <c r="C21" s="25"/>
      <c r="E21" s="25"/>
      <c r="F21" s="25"/>
    </row>
    <row r="24" spans="1:6" ht="12.5" x14ac:dyDescent="0.25">
      <c r="B24" s="8"/>
    </row>
    <row r="25" spans="1:6" ht="12.5" x14ac:dyDescent="0.25">
      <c r="B25" s="8"/>
    </row>
    <row r="28" spans="1:6" ht="13" x14ac:dyDescent="0.3">
      <c r="C28" s="1"/>
      <c r="D28" s="9"/>
    </row>
    <row r="29" spans="1:6" ht="12.5" x14ac:dyDescent="0.25">
      <c r="D29" s="11"/>
    </row>
    <row r="30" spans="1:6" ht="12.5" x14ac:dyDescent="0.25">
      <c r="D30" s="11"/>
    </row>
    <row r="31" spans="1:6" ht="12.5" x14ac:dyDescent="0.25">
      <c r="D31" s="11"/>
    </row>
    <row r="32" spans="1:6" ht="12.5" x14ac:dyDescent="0.25">
      <c r="D32" s="11"/>
    </row>
    <row r="33" spans="4:4" ht="12.5" x14ac:dyDescent="0.25">
      <c r="D33" s="12"/>
    </row>
  </sheetData>
  <mergeCells count="5">
    <mergeCell ref="A11:A13"/>
    <mergeCell ref="A15:A16"/>
    <mergeCell ref="A17:A20"/>
    <mergeCell ref="A3:B3"/>
    <mergeCell ref="A1:F1"/>
  </mergeCells>
  <conditionalFormatting sqref="E10">
    <cfRule type="containsText" dxfId="21" priority="2" operator="containsText" text="FAIL">
      <formula>NOT(ISERROR(SEARCH(("FAIL"),(E10))))</formula>
    </cfRule>
  </conditionalFormatting>
  <conditionalFormatting sqref="E10:E20">
    <cfRule type="containsText" dxfId="20" priority="1" operator="containsText" text="PASS">
      <formula>NOT(ISERROR(SEARCH("PASS",E10)))</formula>
    </cfRule>
  </conditionalFormatting>
  <conditionalFormatting sqref="E11:E20">
    <cfRule type="containsText" dxfId="19" priority="4" operator="containsText" text="FAIL">
      <formula>NOT(ISERROR(SEARCH("FAIL",E11)))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402"/>
  <sheetViews>
    <sheetView workbookViewId="0">
      <selection activeCell="G10" sqref="G10"/>
    </sheetView>
  </sheetViews>
  <sheetFormatPr baseColWidth="10" defaultColWidth="12.6328125" defaultRowHeight="15.75" customHeight="1" x14ac:dyDescent="0.25"/>
  <cols>
    <col min="2" max="2" width="14.54296875" customWidth="1"/>
    <col min="3" max="3" width="16.1796875" customWidth="1"/>
    <col min="7" max="7" width="12.6328125" customWidth="1"/>
    <col min="8" max="8" width="22.08984375" customWidth="1"/>
    <col min="9" max="9" width="15.1796875" customWidth="1"/>
    <col min="10" max="10" width="16.81640625" customWidth="1"/>
    <col min="11" max="11" width="16.26953125" customWidth="1"/>
    <col min="12" max="12" width="17.90625" customWidth="1"/>
  </cols>
  <sheetData>
    <row r="1" spans="1:26" ht="19" customHeight="1" thickBot="1" x14ac:dyDescent="0.3">
      <c r="A1" s="121" t="s">
        <v>122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/>
    </row>
    <row r="3" spans="1:26" ht="15.75" customHeight="1" thickBot="1" x14ac:dyDescent="0.35">
      <c r="A3" s="44" t="s">
        <v>36</v>
      </c>
      <c r="B3" s="44" t="s">
        <v>37</v>
      </c>
      <c r="C3" s="42" t="s">
        <v>38</v>
      </c>
      <c r="D3" s="42" t="s">
        <v>39</v>
      </c>
      <c r="E3" s="44" t="s">
        <v>40</v>
      </c>
      <c r="F3" s="44" t="s">
        <v>41</v>
      </c>
      <c r="G3" s="44" t="s">
        <v>42</v>
      </c>
      <c r="H3" s="44" t="s">
        <v>43</v>
      </c>
      <c r="I3" s="44" t="s">
        <v>79</v>
      </c>
      <c r="J3" s="46" t="s">
        <v>80</v>
      </c>
      <c r="K3" s="43" t="s">
        <v>81</v>
      </c>
      <c r="L3" s="42" t="s">
        <v>82</v>
      </c>
      <c r="M3" s="4"/>
      <c r="N3" s="4"/>
      <c r="O3" s="4" t="s">
        <v>83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5">
        <v>1</v>
      </c>
      <c r="B4" s="6">
        <v>45301</v>
      </c>
      <c r="C4" s="45" t="s">
        <v>44</v>
      </c>
      <c r="D4" s="45" t="s">
        <v>45</v>
      </c>
      <c r="E4" s="4" t="s">
        <v>46</v>
      </c>
      <c r="F4" s="4" t="s">
        <v>47</v>
      </c>
      <c r="G4" s="4" t="s">
        <v>135</v>
      </c>
      <c r="H4" s="4" t="s">
        <v>44</v>
      </c>
      <c r="I4" s="4">
        <f t="shared" ref="I4:I258" si="0">WEEKNUM(B4,2)</f>
        <v>2</v>
      </c>
      <c r="J4" s="4" t="str">
        <f t="shared" ref="J4:J258" si="1">IF(C4="","",WEEKNUM(C4,2))</f>
        <v/>
      </c>
      <c r="K4" s="45" t="str">
        <f>VLOOKUP(MONTH(B4),'03_Lookup'!A:B,2,FALSE)</f>
        <v>Jan</v>
      </c>
      <c r="L4" s="45" t="str">
        <f>IF(C4="","",VLOOKUP(MONTH(C4),'03_Lookup'!A:B,2,FALSE))</f>
        <v/>
      </c>
      <c r="M4" s="4"/>
      <c r="N4" s="4"/>
      <c r="O4" s="8" t="b">
        <f>ISNUMBER(B4)</f>
        <v>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5">
      <c r="A5" s="5">
        <v>2</v>
      </c>
      <c r="B5" s="6">
        <v>45329</v>
      </c>
      <c r="C5" s="4" t="s">
        <v>44</v>
      </c>
      <c r="D5" s="4" t="s">
        <v>45</v>
      </c>
      <c r="E5" s="4" t="s">
        <v>48</v>
      </c>
      <c r="F5" s="4" t="s">
        <v>47</v>
      </c>
      <c r="G5" s="4" t="s">
        <v>136</v>
      </c>
      <c r="H5" s="4" t="s">
        <v>44</v>
      </c>
      <c r="I5" s="4">
        <f t="shared" si="0"/>
        <v>6</v>
      </c>
      <c r="J5" s="4" t="str">
        <f t="shared" si="1"/>
        <v/>
      </c>
      <c r="K5" s="4" t="str">
        <f>VLOOKUP(MONTH(B5),'03_Lookup'!A:B,2,FALSE)</f>
        <v>Feb</v>
      </c>
      <c r="L5" s="4" t="str">
        <f>IF(C5="","",VLOOKUP(MONTH(C5),'03_Lookup'!A:B,2,FALSE))</f>
        <v/>
      </c>
      <c r="M5" s="4"/>
      <c r="N5" s="4"/>
      <c r="O5" s="8" t="b">
        <f>ISNUMBER(C13)</f>
        <v>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5">
        <v>3</v>
      </c>
      <c r="B6" s="6">
        <v>45307</v>
      </c>
      <c r="C6" s="4" t="s">
        <v>44</v>
      </c>
      <c r="D6" s="4" t="s">
        <v>45</v>
      </c>
      <c r="E6" s="4" t="s">
        <v>48</v>
      </c>
      <c r="F6" s="4" t="s">
        <v>47</v>
      </c>
      <c r="G6" s="4" t="s">
        <v>136</v>
      </c>
      <c r="H6" s="4" t="s">
        <v>44</v>
      </c>
      <c r="I6" s="4">
        <f t="shared" si="0"/>
        <v>3</v>
      </c>
      <c r="J6" s="4" t="str">
        <f t="shared" si="1"/>
        <v/>
      </c>
      <c r="K6" s="4" t="str">
        <f>VLOOKUP(MONTH(B6),'03_Lookup'!A:B,2,FALSE)</f>
        <v>Jan</v>
      </c>
      <c r="L6" s="4" t="str">
        <f>IF(C6="","",VLOOKUP(MONTH(C6),'03_Lookup'!A:B,2,FALSE))</f>
        <v/>
      </c>
      <c r="M6" s="4"/>
      <c r="N6" s="4"/>
      <c r="O6" s="8" t="b">
        <f>C24&lt;B24</f>
        <v>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5">
      <c r="A7" s="5">
        <v>4</v>
      </c>
      <c r="B7" s="6">
        <v>45336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136</v>
      </c>
      <c r="H7" s="4" t="s">
        <v>44</v>
      </c>
      <c r="I7" s="4">
        <f t="shared" si="0"/>
        <v>7</v>
      </c>
      <c r="J7" s="4" t="str">
        <f t="shared" si="1"/>
        <v/>
      </c>
      <c r="K7" s="4" t="str">
        <f>VLOOKUP(MONTH(B7),'03_Lookup'!A:B,2,FALSE)</f>
        <v>Feb</v>
      </c>
      <c r="L7" s="4" t="str">
        <f>IF(C7="","",VLOOKUP(MONTH(C7),'03_Lookup'!A:B,2,FALSE))</f>
        <v/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5">
        <v>5</v>
      </c>
      <c r="B8" s="6">
        <v>45333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136</v>
      </c>
      <c r="H8" s="4" t="s">
        <v>44</v>
      </c>
      <c r="I8" s="4">
        <f t="shared" si="0"/>
        <v>6</v>
      </c>
      <c r="J8" s="4" t="str">
        <f t="shared" si="1"/>
        <v/>
      </c>
      <c r="K8" s="4" t="str">
        <f>VLOOKUP(MONTH(B8),'03_Lookup'!A:B,2,FALSE)</f>
        <v>Feb</v>
      </c>
      <c r="L8" s="4" t="str">
        <f>IF(C8="","",VLOOKUP(MONTH(C8),'03_Lookup'!A:B,2,FALSE))</f>
        <v/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5">
      <c r="A9" s="5">
        <v>6</v>
      </c>
      <c r="B9" s="6">
        <v>45292</v>
      </c>
      <c r="C9" s="7"/>
      <c r="D9" s="4" t="s">
        <v>45</v>
      </c>
      <c r="E9" s="4" t="s">
        <v>46</v>
      </c>
      <c r="F9" s="4" t="s">
        <v>49</v>
      </c>
      <c r="G9" s="4" t="s">
        <v>135</v>
      </c>
      <c r="H9" s="4"/>
      <c r="I9" s="4">
        <f t="shared" si="0"/>
        <v>1</v>
      </c>
      <c r="J9" s="4" t="str">
        <f t="shared" si="1"/>
        <v/>
      </c>
      <c r="K9" s="4" t="str">
        <f>VLOOKUP(MONTH(B9),'03_Lookup'!A:B,2,FALSE)</f>
        <v>Jan</v>
      </c>
      <c r="L9" s="4" t="str">
        <f>IF(C9="","",VLOOKUP(MONTH(C9),'03_Lookup'!A:B,2,FALSE))</f>
        <v/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5">
      <c r="A10" s="5">
        <v>7</v>
      </c>
      <c r="B10" s="6">
        <v>45369</v>
      </c>
      <c r="C10" s="7"/>
      <c r="D10" s="4" t="s">
        <v>50</v>
      </c>
      <c r="E10" s="4" t="s">
        <v>48</v>
      </c>
      <c r="F10" s="4" t="s">
        <v>49</v>
      </c>
      <c r="G10" s="4" t="s">
        <v>136</v>
      </c>
      <c r="H10" s="5">
        <v>216</v>
      </c>
      <c r="I10" s="4">
        <f t="shared" si="0"/>
        <v>12</v>
      </c>
      <c r="J10" s="4" t="str">
        <f t="shared" si="1"/>
        <v/>
      </c>
      <c r="K10" s="4" t="str">
        <f>VLOOKUP(MONTH(B10),'03_Lookup'!A:B,2,FALSE)</f>
        <v>Mar</v>
      </c>
      <c r="L10" s="4" t="str">
        <f>IF(C10="","",VLOOKUP(MONTH(C10),'03_Lookup'!A:B,2,FALSE))</f>
        <v/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5">
        <v>8</v>
      </c>
      <c r="B11" s="6">
        <v>45331</v>
      </c>
      <c r="C11" s="4" t="s">
        <v>44</v>
      </c>
      <c r="D11" s="4" t="s">
        <v>45</v>
      </c>
      <c r="E11" s="4" t="s">
        <v>46</v>
      </c>
      <c r="F11" s="4" t="s">
        <v>47</v>
      </c>
      <c r="G11" s="4" t="s">
        <v>136</v>
      </c>
      <c r="H11" s="4" t="s">
        <v>44</v>
      </c>
      <c r="I11" s="4">
        <f t="shared" si="0"/>
        <v>6</v>
      </c>
      <c r="J11" s="4" t="str">
        <f t="shared" si="1"/>
        <v/>
      </c>
      <c r="K11" s="4" t="str">
        <f>VLOOKUP(MONTH(B11),'03_Lookup'!A:B,2,FALSE)</f>
        <v>Feb</v>
      </c>
      <c r="L11" s="4" t="str">
        <f>IF(C11="","",VLOOKUP(MONTH(C11),'03_Lookup'!A:B,2,FALSE))</f>
        <v/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5">
      <c r="A12" s="5">
        <v>9</v>
      </c>
      <c r="B12" s="6">
        <v>45330</v>
      </c>
      <c r="C12" s="4" t="s">
        <v>44</v>
      </c>
      <c r="D12" s="4" t="s">
        <v>45</v>
      </c>
      <c r="E12" s="4" t="s">
        <v>48</v>
      </c>
      <c r="F12" s="4" t="s">
        <v>51</v>
      </c>
      <c r="G12" s="4" t="s">
        <v>135</v>
      </c>
      <c r="H12" s="4" t="s">
        <v>44</v>
      </c>
      <c r="I12" s="4">
        <f t="shared" si="0"/>
        <v>6</v>
      </c>
      <c r="J12" s="4" t="str">
        <f t="shared" si="1"/>
        <v/>
      </c>
      <c r="K12" s="4" t="str">
        <f>VLOOKUP(MONTH(B12),'03_Lookup'!A:B,2,FALSE)</f>
        <v>Feb</v>
      </c>
      <c r="L12" s="4" t="str">
        <f>IF(C12="","",VLOOKUP(MONTH(C12),'03_Lookup'!A:B,2,FALSE))</f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5">
        <v>10</v>
      </c>
      <c r="B13" s="6">
        <v>45298</v>
      </c>
      <c r="C13" s="6">
        <v>45305</v>
      </c>
      <c r="D13" s="4" t="s">
        <v>50</v>
      </c>
      <c r="E13" s="4" t="s">
        <v>46</v>
      </c>
      <c r="F13" s="4" t="s">
        <v>47</v>
      </c>
      <c r="G13" s="4" t="s">
        <v>135</v>
      </c>
      <c r="H13" s="5">
        <v>168</v>
      </c>
      <c r="I13" s="4">
        <f t="shared" si="0"/>
        <v>1</v>
      </c>
      <c r="J13" s="4">
        <f t="shared" si="1"/>
        <v>2</v>
      </c>
      <c r="K13" s="4" t="str">
        <f>VLOOKUP(MONTH(B13),'03_Lookup'!A:B,2,FALSE)</f>
        <v>Jan</v>
      </c>
      <c r="L13" s="4" t="str">
        <f>IF(C13="","",VLOOKUP(MONTH(C13),'03_Lookup'!A:B,2,FALSE))</f>
        <v>Jan</v>
      </c>
      <c r="M13" s="4"/>
      <c r="N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5">
        <v>11</v>
      </c>
      <c r="B14" s="6">
        <v>45344</v>
      </c>
      <c r="C14" s="4" t="s">
        <v>44</v>
      </c>
      <c r="D14" s="4" t="s">
        <v>45</v>
      </c>
      <c r="E14" s="4" t="s">
        <v>46</v>
      </c>
      <c r="F14" s="4" t="s">
        <v>47</v>
      </c>
      <c r="G14" s="4" t="s">
        <v>136</v>
      </c>
      <c r="H14" s="4" t="s">
        <v>44</v>
      </c>
      <c r="I14" s="4">
        <f t="shared" si="0"/>
        <v>8</v>
      </c>
      <c r="J14" s="4" t="str">
        <f t="shared" si="1"/>
        <v/>
      </c>
      <c r="K14" s="4" t="str">
        <f>VLOOKUP(MONTH(B14),'03_Lookup'!A:B,2,FALSE)</f>
        <v>Feb</v>
      </c>
      <c r="L14" s="4" t="str">
        <f>IF(C14="","",VLOOKUP(MONTH(C14),'03_Lookup'!A:B,2,FALSE))</f>
        <v/>
      </c>
      <c r="M14" s="4"/>
      <c r="N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5">
        <v>12</v>
      </c>
      <c r="B15" s="6">
        <v>45304</v>
      </c>
      <c r="C15" s="4" t="s">
        <v>44</v>
      </c>
      <c r="D15" s="4" t="s">
        <v>45</v>
      </c>
      <c r="E15" s="4" t="s">
        <v>46</v>
      </c>
      <c r="F15" s="4" t="s">
        <v>47</v>
      </c>
      <c r="G15" s="4" t="s">
        <v>136</v>
      </c>
      <c r="H15" s="4" t="s">
        <v>44</v>
      </c>
      <c r="I15" s="4">
        <f t="shared" si="0"/>
        <v>2</v>
      </c>
      <c r="J15" s="4" t="str">
        <f t="shared" si="1"/>
        <v/>
      </c>
      <c r="K15" s="4" t="str">
        <f>VLOOKUP(MONTH(B15),'03_Lookup'!A:B,2,FALSE)</f>
        <v>Jan</v>
      </c>
      <c r="L15" s="4" t="str">
        <f>IF(C15="","",VLOOKUP(MONTH(C15),'03_Lookup'!A:B,2,FALSE))</f>
        <v/>
      </c>
      <c r="M15" s="4"/>
      <c r="N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5">
        <v>13</v>
      </c>
      <c r="B16" s="6">
        <v>45324</v>
      </c>
      <c r="C16" s="7"/>
      <c r="D16" s="4" t="s">
        <v>50</v>
      </c>
      <c r="E16" s="4" t="s">
        <v>46</v>
      </c>
      <c r="F16" s="4" t="s">
        <v>51</v>
      </c>
      <c r="G16" s="4" t="s">
        <v>136</v>
      </c>
      <c r="H16" s="5">
        <v>48</v>
      </c>
      <c r="I16" s="4">
        <f t="shared" si="0"/>
        <v>5</v>
      </c>
      <c r="J16" s="4" t="str">
        <f t="shared" si="1"/>
        <v/>
      </c>
      <c r="K16" s="4" t="str">
        <f>VLOOKUP(MONTH(B16),'03_Lookup'!A:B,2,FALSE)</f>
        <v>Feb</v>
      </c>
      <c r="L16" s="4" t="str">
        <f>IF(C16="","",VLOOKUP(MONTH(C16),'03_Lookup'!A:B,2,FALSE))</f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5">
        <v>14</v>
      </c>
      <c r="B17" s="6">
        <v>45353</v>
      </c>
      <c r="C17" s="4" t="s">
        <v>44</v>
      </c>
      <c r="D17" s="4" t="s">
        <v>45</v>
      </c>
      <c r="E17" s="4" t="s">
        <v>46</v>
      </c>
      <c r="F17" s="4" t="s">
        <v>47</v>
      </c>
      <c r="G17" s="4" t="s">
        <v>135</v>
      </c>
      <c r="H17" s="4" t="s">
        <v>44</v>
      </c>
      <c r="I17" s="4">
        <f t="shared" si="0"/>
        <v>9</v>
      </c>
      <c r="J17" s="4" t="str">
        <f t="shared" si="1"/>
        <v/>
      </c>
      <c r="K17" s="4" t="str">
        <f>VLOOKUP(MONTH(B17),'03_Lookup'!A:B,2,FALSE)</f>
        <v>Mar</v>
      </c>
      <c r="L17" s="4" t="str">
        <f>IF(C17="","",VLOOKUP(MONTH(C17),'03_Lookup'!A:B,2,FALSE))</f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5">
        <v>15</v>
      </c>
      <c r="B18" s="6">
        <v>45338</v>
      </c>
      <c r="C18" s="4" t="s">
        <v>44</v>
      </c>
      <c r="D18" s="4" t="s">
        <v>45</v>
      </c>
      <c r="E18" s="4" t="s">
        <v>46</v>
      </c>
      <c r="F18" s="4" t="s">
        <v>47</v>
      </c>
      <c r="G18" s="4" t="s">
        <v>136</v>
      </c>
      <c r="H18" s="4" t="s">
        <v>44</v>
      </c>
      <c r="I18" s="4">
        <f t="shared" si="0"/>
        <v>7</v>
      </c>
      <c r="J18" s="4" t="str">
        <f t="shared" si="1"/>
        <v/>
      </c>
      <c r="K18" s="4" t="str">
        <f>VLOOKUP(MONTH(B18),'03_Lookup'!A:B,2,FALSE)</f>
        <v>Feb</v>
      </c>
      <c r="L18" s="4" t="str">
        <f>IF(C18="","",VLOOKUP(MONTH(C18),'03_Lookup'!A:B,2,FALSE))</f>
        <v/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5">
        <v>16</v>
      </c>
      <c r="B19" s="6">
        <v>45300</v>
      </c>
      <c r="C19" s="4" t="s">
        <v>44</v>
      </c>
      <c r="D19" s="4" t="s">
        <v>45</v>
      </c>
      <c r="E19" s="4" t="s">
        <v>48</v>
      </c>
      <c r="F19" s="4" t="s">
        <v>47</v>
      </c>
      <c r="G19" s="4" t="s">
        <v>135</v>
      </c>
      <c r="H19" s="4" t="s">
        <v>44</v>
      </c>
      <c r="I19" s="4">
        <f t="shared" si="0"/>
        <v>2</v>
      </c>
      <c r="J19" s="4" t="str">
        <f t="shared" si="1"/>
        <v/>
      </c>
      <c r="K19" s="4" t="str">
        <f>VLOOKUP(MONTH(B19),'03_Lookup'!A:B,2,FALSE)</f>
        <v>Jan</v>
      </c>
      <c r="L19" s="4" t="str">
        <f>IF(C19="","",VLOOKUP(MONTH(C19),'03_Lookup'!A:B,2,FALSE))</f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5">
        <v>17</v>
      </c>
      <c r="B20" s="6">
        <v>45337</v>
      </c>
      <c r="C20" s="4" t="s">
        <v>44</v>
      </c>
      <c r="D20" s="4" t="s">
        <v>45</v>
      </c>
      <c r="E20" s="4" t="s">
        <v>46</v>
      </c>
      <c r="F20" s="4" t="s">
        <v>51</v>
      </c>
      <c r="G20" s="4" t="s">
        <v>135</v>
      </c>
      <c r="H20" s="4" t="s">
        <v>44</v>
      </c>
      <c r="I20" s="4">
        <f t="shared" si="0"/>
        <v>7</v>
      </c>
      <c r="J20" s="4" t="str">
        <f t="shared" si="1"/>
        <v/>
      </c>
      <c r="K20" s="4" t="str">
        <f>VLOOKUP(MONTH(B20),'03_Lookup'!A:B,2,FALSE)</f>
        <v>Feb</v>
      </c>
      <c r="L20" s="4" t="str">
        <f>IF(C20="","",VLOOKUP(MONTH(C20),'03_Lookup'!A:B,2,FALSE))</f>
        <v/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5">
        <v>18</v>
      </c>
      <c r="B21" s="6">
        <v>45357</v>
      </c>
      <c r="C21" s="4" t="s">
        <v>44</v>
      </c>
      <c r="D21" s="4" t="s">
        <v>45</v>
      </c>
      <c r="E21" s="4" t="s">
        <v>46</v>
      </c>
      <c r="F21" s="4" t="s">
        <v>47</v>
      </c>
      <c r="G21" s="4" t="s">
        <v>135</v>
      </c>
      <c r="H21" s="4" t="s">
        <v>44</v>
      </c>
      <c r="I21" s="4">
        <f t="shared" si="0"/>
        <v>10</v>
      </c>
      <c r="J21" s="4" t="str">
        <f t="shared" si="1"/>
        <v/>
      </c>
      <c r="K21" s="4" t="str">
        <f>VLOOKUP(MONTH(B21),'03_Lookup'!A:B,2,FALSE)</f>
        <v>Mar</v>
      </c>
      <c r="L21" s="4" t="str">
        <f>IF(C21="","",VLOOKUP(MONTH(C21),'03_Lookup'!A:B,2,FALSE))</f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5">
        <v>19</v>
      </c>
      <c r="B22" s="6">
        <v>45369</v>
      </c>
      <c r="C22" s="4" t="s">
        <v>44</v>
      </c>
      <c r="D22" s="4" t="s">
        <v>45</v>
      </c>
      <c r="E22" s="4" t="s">
        <v>48</v>
      </c>
      <c r="F22" s="4" t="s">
        <v>47</v>
      </c>
      <c r="G22" s="4" t="s">
        <v>136</v>
      </c>
      <c r="H22" s="4" t="s">
        <v>44</v>
      </c>
      <c r="I22" s="4">
        <f t="shared" si="0"/>
        <v>12</v>
      </c>
      <c r="J22" s="4" t="str">
        <f t="shared" si="1"/>
        <v/>
      </c>
      <c r="K22" s="4" t="str">
        <f>VLOOKUP(MONTH(B22),'03_Lookup'!A:B,2,FALSE)</f>
        <v>Mar</v>
      </c>
      <c r="L22" s="4" t="str">
        <f>IF(C22="","",VLOOKUP(MONTH(C22),'03_Lookup'!A:B,2,FALSE))</f>
        <v/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5">
        <v>20</v>
      </c>
      <c r="B23" s="6">
        <v>45299</v>
      </c>
      <c r="C23" s="6">
        <v>45300</v>
      </c>
      <c r="D23" s="4" t="s">
        <v>50</v>
      </c>
      <c r="E23" s="4" t="s">
        <v>48</v>
      </c>
      <c r="F23" s="4" t="s">
        <v>51</v>
      </c>
      <c r="G23" s="4" t="s">
        <v>136</v>
      </c>
      <c r="H23" s="5">
        <v>24</v>
      </c>
      <c r="I23" s="4">
        <f t="shared" si="0"/>
        <v>2</v>
      </c>
      <c r="J23" s="4">
        <f t="shared" si="1"/>
        <v>2</v>
      </c>
      <c r="K23" s="4" t="str">
        <f>VLOOKUP(MONTH(B23),'03_Lookup'!A:B,2,FALSE)</f>
        <v>Jan</v>
      </c>
      <c r="L23" s="4" t="str">
        <f>IF(C23="","",VLOOKUP(MONTH(C23),'03_Lookup'!A:B,2,FALSE))</f>
        <v>Jan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5">
        <v>21</v>
      </c>
      <c r="B24" s="6">
        <v>45298</v>
      </c>
      <c r="C24" s="6">
        <v>45296</v>
      </c>
      <c r="D24" s="4" t="s">
        <v>50</v>
      </c>
      <c r="E24" s="4" t="s">
        <v>48</v>
      </c>
      <c r="F24" s="4" t="s">
        <v>47</v>
      </c>
      <c r="G24" s="4" t="s">
        <v>135</v>
      </c>
      <c r="H24" s="5">
        <v>144</v>
      </c>
      <c r="I24" s="4">
        <f t="shared" si="0"/>
        <v>1</v>
      </c>
      <c r="J24" s="4">
        <f t="shared" si="1"/>
        <v>1</v>
      </c>
      <c r="K24" s="4" t="str">
        <f>VLOOKUP(MONTH(B24),'03_Lookup'!A:B,2,FALSE)</f>
        <v>Jan</v>
      </c>
      <c r="L24" s="4" t="str">
        <f>IF(C24="","",VLOOKUP(MONTH(C24),'03_Lookup'!A:B,2,FALSE))</f>
        <v>Jan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5">
        <v>22</v>
      </c>
      <c r="B25" s="6">
        <v>45310</v>
      </c>
      <c r="C25" s="4" t="s">
        <v>44</v>
      </c>
      <c r="D25" s="4" t="s">
        <v>45</v>
      </c>
      <c r="E25" s="4" t="s">
        <v>46</v>
      </c>
      <c r="F25" s="4" t="s">
        <v>51</v>
      </c>
      <c r="G25" s="4" t="s">
        <v>135</v>
      </c>
      <c r="H25" s="4" t="s">
        <v>44</v>
      </c>
      <c r="I25" s="4">
        <f t="shared" si="0"/>
        <v>3</v>
      </c>
      <c r="J25" s="4" t="str">
        <f t="shared" si="1"/>
        <v/>
      </c>
      <c r="K25" s="4" t="str">
        <f>VLOOKUP(MONTH(B25),'03_Lookup'!A:B,2,FALSE)</f>
        <v>Jan</v>
      </c>
      <c r="L25" s="4" t="str">
        <f>IF(C25="","",VLOOKUP(MONTH(C25),'03_Lookup'!A:B,2,FALSE))</f>
        <v/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5" x14ac:dyDescent="0.25">
      <c r="A26" s="5">
        <v>23</v>
      </c>
      <c r="B26" s="6">
        <v>45309</v>
      </c>
      <c r="C26" s="4" t="s">
        <v>44</v>
      </c>
      <c r="D26" s="4" t="s">
        <v>45</v>
      </c>
      <c r="E26" s="4" t="s">
        <v>46</v>
      </c>
      <c r="F26" s="4" t="s">
        <v>47</v>
      </c>
      <c r="G26" s="4" t="s">
        <v>136</v>
      </c>
      <c r="H26" s="4" t="s">
        <v>44</v>
      </c>
      <c r="I26" s="4">
        <f t="shared" si="0"/>
        <v>3</v>
      </c>
      <c r="J26" s="4" t="str">
        <f t="shared" si="1"/>
        <v/>
      </c>
      <c r="K26" s="4" t="str">
        <f>VLOOKUP(MONTH(B26),'03_Lookup'!A:B,2,FALSE)</f>
        <v>Jan</v>
      </c>
      <c r="L26" s="4" t="str">
        <f>IF(C26="","",VLOOKUP(MONTH(C26),'03_Lookup'!A:B,2,FALSE))</f>
        <v/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5" x14ac:dyDescent="0.25">
      <c r="A27" s="5">
        <v>24</v>
      </c>
      <c r="B27" s="6">
        <v>45376</v>
      </c>
      <c r="C27" s="4" t="s">
        <v>44</v>
      </c>
      <c r="D27" s="4" t="s">
        <v>45</v>
      </c>
      <c r="E27" s="4" t="s">
        <v>48</v>
      </c>
      <c r="F27" s="4" t="s">
        <v>47</v>
      </c>
      <c r="G27" s="4" t="s">
        <v>136</v>
      </c>
      <c r="H27" s="4" t="s">
        <v>44</v>
      </c>
      <c r="I27" s="4">
        <f t="shared" si="0"/>
        <v>13</v>
      </c>
      <c r="J27" s="4" t="str">
        <f t="shared" si="1"/>
        <v/>
      </c>
      <c r="K27" s="4" t="str">
        <f>VLOOKUP(MONTH(B27),'03_Lookup'!A:B,2,FALSE)</f>
        <v>Mar</v>
      </c>
      <c r="L27" s="4" t="str">
        <f>IF(C27="","",VLOOKUP(MONTH(C27),'03_Lookup'!A:B,2,FALSE))</f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5" x14ac:dyDescent="0.25">
      <c r="A28" s="5">
        <v>25</v>
      </c>
      <c r="B28" s="6">
        <v>45302</v>
      </c>
      <c r="C28" s="6">
        <v>45301</v>
      </c>
      <c r="D28" s="4" t="s">
        <v>50</v>
      </c>
      <c r="E28" s="4" t="s">
        <v>46</v>
      </c>
      <c r="F28" s="4" t="s">
        <v>51</v>
      </c>
      <c r="G28" s="4" t="s">
        <v>136</v>
      </c>
      <c r="H28" s="5">
        <v>168</v>
      </c>
      <c r="I28" s="4">
        <f t="shared" si="0"/>
        <v>2</v>
      </c>
      <c r="J28" s="4">
        <f t="shared" si="1"/>
        <v>2</v>
      </c>
      <c r="K28" s="4" t="str">
        <f>VLOOKUP(MONTH(B28),'03_Lookup'!A:B,2,FALSE)</f>
        <v>Jan</v>
      </c>
      <c r="L28" s="4" t="str">
        <f>IF(C28="","",VLOOKUP(MONTH(C28),'03_Lookup'!A:B,2,FALSE))</f>
        <v>Jan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5" x14ac:dyDescent="0.25">
      <c r="A29" s="5">
        <v>26</v>
      </c>
      <c r="B29" s="6">
        <v>45298</v>
      </c>
      <c r="C29" s="4" t="s">
        <v>44</v>
      </c>
      <c r="D29" s="4" t="s">
        <v>45</v>
      </c>
      <c r="E29" s="4" t="s">
        <v>48</v>
      </c>
      <c r="F29" s="4" t="s">
        <v>49</v>
      </c>
      <c r="G29" s="4" t="s">
        <v>136</v>
      </c>
      <c r="H29" s="4" t="s">
        <v>44</v>
      </c>
      <c r="I29" s="4">
        <f t="shared" si="0"/>
        <v>1</v>
      </c>
      <c r="J29" s="4" t="str">
        <f t="shared" si="1"/>
        <v/>
      </c>
      <c r="K29" s="4" t="str">
        <f>VLOOKUP(MONTH(B29),'03_Lookup'!A:B,2,FALSE)</f>
        <v>Jan</v>
      </c>
      <c r="L29" s="4" t="str">
        <f>IF(C29="","",VLOOKUP(MONTH(C29),'03_Lookup'!A:B,2,FALSE))</f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5" x14ac:dyDescent="0.25">
      <c r="A30" s="5">
        <v>27</v>
      </c>
      <c r="B30" s="6">
        <v>45323</v>
      </c>
      <c r="C30" s="4" t="s">
        <v>44</v>
      </c>
      <c r="D30" s="4" t="s">
        <v>45</v>
      </c>
      <c r="E30" s="4" t="s">
        <v>48</v>
      </c>
      <c r="F30" s="4" t="s">
        <v>49</v>
      </c>
      <c r="G30" s="4" t="s">
        <v>136</v>
      </c>
      <c r="H30" s="4" t="s">
        <v>44</v>
      </c>
      <c r="I30" s="4">
        <f t="shared" si="0"/>
        <v>5</v>
      </c>
      <c r="J30" s="4" t="str">
        <f t="shared" si="1"/>
        <v/>
      </c>
      <c r="K30" s="4" t="str">
        <f>VLOOKUP(MONTH(B30),'03_Lookup'!A:B,2,FALSE)</f>
        <v>Feb</v>
      </c>
      <c r="L30" s="4" t="str">
        <f>IF(C30="","",VLOOKUP(MONTH(C30),'03_Lookup'!A:B,2,FALSE))</f>
        <v/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5" x14ac:dyDescent="0.25">
      <c r="A31" s="5">
        <v>28</v>
      </c>
      <c r="B31" s="6">
        <v>45348</v>
      </c>
      <c r="C31" s="4" t="s">
        <v>44</v>
      </c>
      <c r="D31" s="4" t="s">
        <v>45</v>
      </c>
      <c r="E31" s="4" t="s">
        <v>48</v>
      </c>
      <c r="F31" s="4" t="s">
        <v>47</v>
      </c>
      <c r="G31" s="4" t="s">
        <v>135</v>
      </c>
      <c r="H31" s="4" t="s">
        <v>44</v>
      </c>
      <c r="I31" s="4">
        <f t="shared" si="0"/>
        <v>9</v>
      </c>
      <c r="J31" s="4" t="str">
        <f t="shared" si="1"/>
        <v/>
      </c>
      <c r="K31" s="4" t="str">
        <f>VLOOKUP(MONTH(B31),'03_Lookup'!A:B,2,FALSE)</f>
        <v>Feb</v>
      </c>
      <c r="L31" s="4" t="str">
        <f>IF(C31="","",VLOOKUP(MONTH(C31),'03_Lookup'!A:B,2,FALSE))</f>
        <v/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5" x14ac:dyDescent="0.25">
      <c r="A32" s="5">
        <v>29</v>
      </c>
      <c r="B32" s="6">
        <v>45376</v>
      </c>
      <c r="C32" s="4" t="s">
        <v>44</v>
      </c>
      <c r="D32" s="4" t="s">
        <v>45</v>
      </c>
      <c r="E32" s="4" t="s">
        <v>46</v>
      </c>
      <c r="F32" s="4" t="s">
        <v>51</v>
      </c>
      <c r="G32" s="4" t="s">
        <v>136</v>
      </c>
      <c r="H32" s="4" t="s">
        <v>44</v>
      </c>
      <c r="I32" s="4">
        <f t="shared" si="0"/>
        <v>13</v>
      </c>
      <c r="J32" s="4" t="str">
        <f t="shared" si="1"/>
        <v/>
      </c>
      <c r="K32" s="4" t="str">
        <f>VLOOKUP(MONTH(B32),'03_Lookup'!A:B,2,FALSE)</f>
        <v>Mar</v>
      </c>
      <c r="L32" s="4" t="str">
        <f>IF(C32="","",VLOOKUP(MONTH(C32),'03_Lookup'!A:B,2,FALSE))</f>
        <v/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5" x14ac:dyDescent="0.25">
      <c r="A33" s="5">
        <v>30</v>
      </c>
      <c r="B33" s="6">
        <v>45380</v>
      </c>
      <c r="C33" s="4" t="s">
        <v>44</v>
      </c>
      <c r="D33" s="4" t="s">
        <v>45</v>
      </c>
      <c r="E33" s="4" t="s">
        <v>48</v>
      </c>
      <c r="F33" s="4" t="s">
        <v>47</v>
      </c>
      <c r="G33" s="4" t="s">
        <v>136</v>
      </c>
      <c r="H33" s="4" t="s">
        <v>44</v>
      </c>
      <c r="I33" s="4">
        <f t="shared" si="0"/>
        <v>13</v>
      </c>
      <c r="J33" s="4" t="str">
        <f t="shared" si="1"/>
        <v/>
      </c>
      <c r="K33" s="4" t="str">
        <f>VLOOKUP(MONTH(B33),'03_Lookup'!A:B,2,FALSE)</f>
        <v>Mar</v>
      </c>
      <c r="L33" s="4" t="str">
        <f>IF(C33="","",VLOOKUP(MONTH(C33),'03_Lookup'!A:B,2,FALSE))</f>
        <v/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5" x14ac:dyDescent="0.25">
      <c r="A34" s="5">
        <v>31</v>
      </c>
      <c r="B34" s="6">
        <v>45334</v>
      </c>
      <c r="C34" s="4" t="s">
        <v>44</v>
      </c>
      <c r="D34" s="4" t="s">
        <v>45</v>
      </c>
      <c r="E34" s="4" t="s">
        <v>48</v>
      </c>
      <c r="F34" s="4" t="s">
        <v>47</v>
      </c>
      <c r="G34" s="4" t="s">
        <v>135</v>
      </c>
      <c r="H34" s="4" t="s">
        <v>44</v>
      </c>
      <c r="I34" s="4">
        <f t="shared" si="0"/>
        <v>7</v>
      </c>
      <c r="J34" s="4" t="str">
        <f t="shared" si="1"/>
        <v/>
      </c>
      <c r="K34" s="4" t="str">
        <f>VLOOKUP(MONTH(B34),'03_Lookup'!A:B,2,FALSE)</f>
        <v>Feb</v>
      </c>
      <c r="L34" s="4" t="str">
        <f>IF(C34="","",VLOOKUP(MONTH(C34),'03_Lookup'!A:B,2,FALSE))</f>
        <v/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5" x14ac:dyDescent="0.25">
      <c r="A35" s="5">
        <v>32</v>
      </c>
      <c r="B35" s="6">
        <v>45335</v>
      </c>
      <c r="C35" s="4" t="s">
        <v>44</v>
      </c>
      <c r="D35" s="4" t="s">
        <v>45</v>
      </c>
      <c r="E35" s="4" t="s">
        <v>46</v>
      </c>
      <c r="F35" s="4" t="s">
        <v>47</v>
      </c>
      <c r="G35" s="4" t="s">
        <v>135</v>
      </c>
      <c r="H35" s="4" t="s">
        <v>44</v>
      </c>
      <c r="I35" s="4">
        <f t="shared" si="0"/>
        <v>7</v>
      </c>
      <c r="J35" s="4" t="str">
        <f t="shared" si="1"/>
        <v/>
      </c>
      <c r="K35" s="4" t="str">
        <f>VLOOKUP(MONTH(B35),'03_Lookup'!A:B,2,FALSE)</f>
        <v>Feb</v>
      </c>
      <c r="L35" s="4" t="str">
        <f>IF(C35="","",VLOOKUP(MONTH(C35),'03_Lookup'!A:B,2,FALSE))</f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5" x14ac:dyDescent="0.25">
      <c r="A36" s="5">
        <v>33</v>
      </c>
      <c r="B36" s="6">
        <v>45311</v>
      </c>
      <c r="C36" s="4" t="s">
        <v>44</v>
      </c>
      <c r="D36" s="4" t="s">
        <v>45</v>
      </c>
      <c r="E36" s="4" t="s">
        <v>46</v>
      </c>
      <c r="F36" s="4" t="s">
        <v>51</v>
      </c>
      <c r="G36" s="4" t="s">
        <v>136</v>
      </c>
      <c r="H36" s="4" t="s">
        <v>44</v>
      </c>
      <c r="I36" s="4">
        <f t="shared" si="0"/>
        <v>3</v>
      </c>
      <c r="J36" s="4" t="str">
        <f t="shared" si="1"/>
        <v/>
      </c>
      <c r="K36" s="4" t="str">
        <f>VLOOKUP(MONTH(B36),'03_Lookup'!A:B,2,FALSE)</f>
        <v>Jan</v>
      </c>
      <c r="L36" s="4" t="str">
        <f>IF(C36="","",VLOOKUP(MONTH(C36),'03_Lookup'!A:B,2,FALSE))</f>
        <v/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5" x14ac:dyDescent="0.25">
      <c r="A37" s="5">
        <v>34</v>
      </c>
      <c r="B37" s="6">
        <v>45323</v>
      </c>
      <c r="C37" s="4" t="s">
        <v>44</v>
      </c>
      <c r="D37" s="4" t="s">
        <v>45</v>
      </c>
      <c r="E37" s="4" t="s">
        <v>46</v>
      </c>
      <c r="F37" s="4" t="s">
        <v>47</v>
      </c>
      <c r="G37" s="4" t="s">
        <v>135</v>
      </c>
      <c r="H37" s="4" t="s">
        <v>44</v>
      </c>
      <c r="I37" s="4">
        <f t="shared" si="0"/>
        <v>5</v>
      </c>
      <c r="J37" s="4" t="str">
        <f t="shared" si="1"/>
        <v/>
      </c>
      <c r="K37" s="4" t="str">
        <f>VLOOKUP(MONTH(B37),'03_Lookup'!A:B,2,FALSE)</f>
        <v>Feb</v>
      </c>
      <c r="L37" s="4" t="str">
        <f>IF(C37="","",VLOOKUP(MONTH(C37),'03_Lookup'!A:B,2,FALSE))</f>
        <v/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5" x14ac:dyDescent="0.25">
      <c r="A38" s="5">
        <v>35</v>
      </c>
      <c r="B38" s="6">
        <v>45373</v>
      </c>
      <c r="C38" s="4" t="s">
        <v>44</v>
      </c>
      <c r="D38" s="4" t="s">
        <v>45</v>
      </c>
      <c r="E38" s="4" t="s">
        <v>48</v>
      </c>
      <c r="F38" s="4" t="s">
        <v>49</v>
      </c>
      <c r="G38" s="4" t="s">
        <v>136</v>
      </c>
      <c r="H38" s="4" t="s">
        <v>44</v>
      </c>
      <c r="I38" s="4">
        <f t="shared" si="0"/>
        <v>12</v>
      </c>
      <c r="J38" s="4" t="str">
        <f t="shared" si="1"/>
        <v/>
      </c>
      <c r="K38" s="4" t="str">
        <f>VLOOKUP(MONTH(B38),'03_Lookup'!A:B,2,FALSE)</f>
        <v>Mar</v>
      </c>
      <c r="L38" s="4" t="str">
        <f>IF(C38="","",VLOOKUP(MONTH(C38),'03_Lookup'!A:B,2,FALSE))</f>
        <v/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5" x14ac:dyDescent="0.25">
      <c r="A39" s="5">
        <v>36</v>
      </c>
      <c r="B39" s="6">
        <v>45327</v>
      </c>
      <c r="C39" s="6">
        <v>45331</v>
      </c>
      <c r="D39" s="4" t="s">
        <v>50</v>
      </c>
      <c r="E39" s="4" t="s">
        <v>48</v>
      </c>
      <c r="F39" s="4" t="s">
        <v>47</v>
      </c>
      <c r="G39" s="4" t="s">
        <v>136</v>
      </c>
      <c r="H39" s="5">
        <v>96</v>
      </c>
      <c r="I39" s="4">
        <f t="shared" si="0"/>
        <v>6</v>
      </c>
      <c r="J39" s="4">
        <f t="shared" si="1"/>
        <v>6</v>
      </c>
      <c r="K39" s="4" t="str">
        <f>VLOOKUP(MONTH(B39),'03_Lookup'!A:B,2,FALSE)</f>
        <v>Feb</v>
      </c>
      <c r="L39" s="4" t="str">
        <f>IF(C39="","",VLOOKUP(MONTH(C39),'03_Lookup'!A:B,2,FALSE))</f>
        <v>Feb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5" x14ac:dyDescent="0.25">
      <c r="A40" s="5">
        <v>37</v>
      </c>
      <c r="B40" s="6">
        <v>45308</v>
      </c>
      <c r="C40" s="6">
        <v>45312</v>
      </c>
      <c r="D40" s="4" t="s">
        <v>50</v>
      </c>
      <c r="E40" s="4" t="s">
        <v>48</v>
      </c>
      <c r="F40" s="4" t="s">
        <v>47</v>
      </c>
      <c r="G40" s="4" t="s">
        <v>135</v>
      </c>
      <c r="H40" s="5">
        <v>96</v>
      </c>
      <c r="I40" s="4">
        <f t="shared" si="0"/>
        <v>3</v>
      </c>
      <c r="J40" s="4">
        <f t="shared" si="1"/>
        <v>3</v>
      </c>
      <c r="K40" s="4" t="str">
        <f>VLOOKUP(MONTH(B40),'03_Lookup'!A:B,2,FALSE)</f>
        <v>Jan</v>
      </c>
      <c r="L40" s="4" t="str">
        <f>IF(C40="","",VLOOKUP(MONTH(C40),'03_Lookup'!A:B,2,FALSE))</f>
        <v>Jan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5" x14ac:dyDescent="0.25">
      <c r="A41" s="5">
        <v>38</v>
      </c>
      <c r="B41" s="6">
        <v>45302</v>
      </c>
      <c r="C41" s="6">
        <v>45306</v>
      </c>
      <c r="D41" s="4" t="s">
        <v>50</v>
      </c>
      <c r="E41" s="4" t="s">
        <v>46</v>
      </c>
      <c r="F41" s="4" t="s">
        <v>47</v>
      </c>
      <c r="G41" s="4" t="s">
        <v>136</v>
      </c>
      <c r="H41" s="5">
        <v>96</v>
      </c>
      <c r="I41" s="4">
        <f t="shared" si="0"/>
        <v>2</v>
      </c>
      <c r="J41" s="4">
        <f t="shared" si="1"/>
        <v>3</v>
      </c>
      <c r="K41" s="4" t="str">
        <f>VLOOKUP(MONTH(B41),'03_Lookup'!A:B,2,FALSE)</f>
        <v>Jan</v>
      </c>
      <c r="L41" s="4" t="str">
        <f>IF(C41="","",VLOOKUP(MONTH(C41),'03_Lookup'!A:B,2,FALSE))</f>
        <v>Jan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5" x14ac:dyDescent="0.25">
      <c r="A42" s="5">
        <v>39</v>
      </c>
      <c r="B42" s="6">
        <v>45382</v>
      </c>
      <c r="C42" s="6">
        <v>45389</v>
      </c>
      <c r="D42" s="4" t="s">
        <v>50</v>
      </c>
      <c r="E42" s="4" t="s">
        <v>46</v>
      </c>
      <c r="F42" s="4" t="s">
        <v>49</v>
      </c>
      <c r="G42" s="4" t="s">
        <v>136</v>
      </c>
      <c r="H42" s="5">
        <v>168</v>
      </c>
      <c r="I42" s="4">
        <f t="shared" si="0"/>
        <v>13</v>
      </c>
      <c r="J42" s="4">
        <f t="shared" si="1"/>
        <v>14</v>
      </c>
      <c r="K42" s="4" t="str">
        <f>VLOOKUP(MONTH(B42),'03_Lookup'!A:B,2,FALSE)</f>
        <v>Mar</v>
      </c>
      <c r="L42" s="4" t="str">
        <f>IF(C42="","",VLOOKUP(MONTH(C42),'03_Lookup'!A:B,2,FALSE))</f>
        <v>Apr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5" x14ac:dyDescent="0.25">
      <c r="A43" s="5">
        <v>40</v>
      </c>
      <c r="B43" s="6">
        <v>45308</v>
      </c>
      <c r="C43" s="4" t="s">
        <v>44</v>
      </c>
      <c r="D43" s="4" t="s">
        <v>45</v>
      </c>
      <c r="E43" s="4" t="s">
        <v>46</v>
      </c>
      <c r="F43" s="4" t="s">
        <v>47</v>
      </c>
      <c r="G43" s="4" t="s">
        <v>135</v>
      </c>
      <c r="H43" s="4" t="s">
        <v>44</v>
      </c>
      <c r="I43" s="4">
        <f t="shared" si="0"/>
        <v>3</v>
      </c>
      <c r="J43" s="4" t="str">
        <f t="shared" si="1"/>
        <v/>
      </c>
      <c r="K43" s="4" t="str">
        <f>VLOOKUP(MONTH(B43),'03_Lookup'!A:B,2,FALSE)</f>
        <v>Jan</v>
      </c>
      <c r="L43" s="4" t="str">
        <f>IF(C43="","",VLOOKUP(MONTH(C43),'03_Lookup'!A:B,2,FALSE))</f>
        <v/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5" x14ac:dyDescent="0.25">
      <c r="A44" s="5">
        <v>41</v>
      </c>
      <c r="B44" s="6">
        <v>45359</v>
      </c>
      <c r="C44" s="4" t="s">
        <v>44</v>
      </c>
      <c r="D44" s="4" t="s">
        <v>45</v>
      </c>
      <c r="E44" s="4" t="s">
        <v>48</v>
      </c>
      <c r="F44" s="4" t="s">
        <v>51</v>
      </c>
      <c r="G44" s="4" t="s">
        <v>136</v>
      </c>
      <c r="H44" s="4" t="s">
        <v>44</v>
      </c>
      <c r="I44" s="4">
        <f t="shared" si="0"/>
        <v>10</v>
      </c>
      <c r="J44" s="4" t="str">
        <f t="shared" si="1"/>
        <v/>
      </c>
      <c r="K44" s="4" t="str">
        <f>VLOOKUP(MONTH(B44),'03_Lookup'!A:B,2,FALSE)</f>
        <v>Mar</v>
      </c>
      <c r="L44" s="4" t="str">
        <f>IF(C44="","",VLOOKUP(MONTH(C44),'03_Lookup'!A:B,2,FALSE))</f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5" x14ac:dyDescent="0.25">
      <c r="A45" s="5">
        <v>42</v>
      </c>
      <c r="B45" s="6">
        <v>45356</v>
      </c>
      <c r="C45" s="4" t="s">
        <v>44</v>
      </c>
      <c r="D45" s="4" t="s">
        <v>45</v>
      </c>
      <c r="E45" s="4" t="s">
        <v>46</v>
      </c>
      <c r="F45" s="4" t="s">
        <v>47</v>
      </c>
      <c r="G45" s="4" t="s">
        <v>135</v>
      </c>
      <c r="H45" s="4" t="s">
        <v>44</v>
      </c>
      <c r="I45" s="4">
        <f t="shared" si="0"/>
        <v>10</v>
      </c>
      <c r="J45" s="4" t="str">
        <f t="shared" si="1"/>
        <v/>
      </c>
      <c r="K45" s="4" t="str">
        <f>VLOOKUP(MONTH(B45),'03_Lookup'!A:B,2,FALSE)</f>
        <v>Mar</v>
      </c>
      <c r="L45" s="4" t="str">
        <f>IF(C45="","",VLOOKUP(MONTH(C45),'03_Lookup'!A:B,2,FALSE))</f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5" x14ac:dyDescent="0.25">
      <c r="A46" s="5">
        <v>43</v>
      </c>
      <c r="B46" s="6">
        <v>45324</v>
      </c>
      <c r="C46" s="4" t="s">
        <v>44</v>
      </c>
      <c r="D46" s="4" t="s">
        <v>45</v>
      </c>
      <c r="E46" s="4" t="s">
        <v>48</v>
      </c>
      <c r="F46" s="4" t="s">
        <v>47</v>
      </c>
      <c r="G46" s="4" t="s">
        <v>135</v>
      </c>
      <c r="H46" s="4" t="s">
        <v>44</v>
      </c>
      <c r="I46" s="4">
        <f t="shared" si="0"/>
        <v>5</v>
      </c>
      <c r="J46" s="4" t="str">
        <f t="shared" si="1"/>
        <v/>
      </c>
      <c r="K46" s="4" t="str">
        <f>VLOOKUP(MONTH(B46),'03_Lookup'!A:B,2,FALSE)</f>
        <v>Feb</v>
      </c>
      <c r="L46" s="4" t="str">
        <f>IF(C46="","",VLOOKUP(MONTH(C46),'03_Lookup'!A:B,2,FALSE))</f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5" x14ac:dyDescent="0.25">
      <c r="A47" s="5">
        <v>44</v>
      </c>
      <c r="B47" s="6">
        <v>45360</v>
      </c>
      <c r="C47" s="7"/>
      <c r="D47" s="4" t="s">
        <v>45</v>
      </c>
      <c r="E47" s="4" t="s">
        <v>46</v>
      </c>
      <c r="F47" s="4" t="s">
        <v>49</v>
      </c>
      <c r="G47" s="4" t="s">
        <v>135</v>
      </c>
      <c r="H47" s="4"/>
      <c r="I47" s="4">
        <f t="shared" si="0"/>
        <v>10</v>
      </c>
      <c r="J47" s="4" t="str">
        <f t="shared" si="1"/>
        <v/>
      </c>
      <c r="K47" s="4" t="str">
        <f>VLOOKUP(MONTH(B47),'03_Lookup'!A:B,2,FALSE)</f>
        <v>Mar</v>
      </c>
      <c r="L47" s="4" t="str">
        <f>IF(C47="","",VLOOKUP(MONTH(C47),'03_Lookup'!A:B,2,FALSE))</f>
        <v/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5" x14ac:dyDescent="0.25">
      <c r="A48" s="5">
        <v>45</v>
      </c>
      <c r="B48" s="6">
        <v>45362</v>
      </c>
      <c r="C48" s="4" t="s">
        <v>44</v>
      </c>
      <c r="D48" s="4" t="s">
        <v>45</v>
      </c>
      <c r="E48" s="4" t="s">
        <v>46</v>
      </c>
      <c r="F48" s="4" t="s">
        <v>47</v>
      </c>
      <c r="G48" s="4" t="s">
        <v>135</v>
      </c>
      <c r="H48" s="4" t="s">
        <v>44</v>
      </c>
      <c r="I48" s="4">
        <f t="shared" si="0"/>
        <v>11</v>
      </c>
      <c r="J48" s="4" t="str">
        <f t="shared" si="1"/>
        <v/>
      </c>
      <c r="K48" s="4" t="str">
        <f>VLOOKUP(MONTH(B48),'03_Lookup'!A:B,2,FALSE)</f>
        <v>Mar</v>
      </c>
      <c r="L48" s="4" t="str">
        <f>IF(C48="","",VLOOKUP(MONTH(C48),'03_Lookup'!A:B,2,FALSE))</f>
        <v/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5" x14ac:dyDescent="0.25">
      <c r="A49" s="5">
        <v>46</v>
      </c>
      <c r="B49" s="6">
        <v>45310</v>
      </c>
      <c r="C49" s="6">
        <v>45320</v>
      </c>
      <c r="D49" s="4" t="s">
        <v>50</v>
      </c>
      <c r="E49" s="4" t="s">
        <v>46</v>
      </c>
      <c r="F49" s="4" t="s">
        <v>49</v>
      </c>
      <c r="G49" s="4" t="s">
        <v>135</v>
      </c>
      <c r="H49" s="5">
        <v>240</v>
      </c>
      <c r="I49" s="4">
        <f t="shared" si="0"/>
        <v>3</v>
      </c>
      <c r="J49" s="4">
        <f t="shared" si="1"/>
        <v>5</v>
      </c>
      <c r="K49" s="4" t="str">
        <f>VLOOKUP(MONTH(B49),'03_Lookup'!A:B,2,FALSE)</f>
        <v>Jan</v>
      </c>
      <c r="L49" s="4" t="str">
        <f>IF(C49="","",VLOOKUP(MONTH(C49),'03_Lookup'!A:B,2,FALSE))</f>
        <v>Jan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5" x14ac:dyDescent="0.25">
      <c r="A50" s="5">
        <v>47</v>
      </c>
      <c r="B50" s="6">
        <v>45369</v>
      </c>
      <c r="C50" s="4" t="s">
        <v>44</v>
      </c>
      <c r="D50" s="4" t="s">
        <v>45</v>
      </c>
      <c r="E50" s="4" t="s">
        <v>46</v>
      </c>
      <c r="F50" s="4" t="s">
        <v>49</v>
      </c>
      <c r="G50" s="4" t="s">
        <v>135</v>
      </c>
      <c r="H50" s="4" t="s">
        <v>44</v>
      </c>
      <c r="I50" s="4">
        <f t="shared" si="0"/>
        <v>12</v>
      </c>
      <c r="J50" s="4" t="str">
        <f t="shared" si="1"/>
        <v/>
      </c>
      <c r="K50" s="4" t="str">
        <f>VLOOKUP(MONTH(B50),'03_Lookup'!A:B,2,FALSE)</f>
        <v>Mar</v>
      </c>
      <c r="L50" s="4" t="str">
        <f>IF(C50="","",VLOOKUP(MONTH(C50),'03_Lookup'!A:B,2,FALSE))</f>
        <v/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5" x14ac:dyDescent="0.25">
      <c r="A51" s="5">
        <v>48</v>
      </c>
      <c r="B51" s="6">
        <v>45299</v>
      </c>
      <c r="C51" s="4" t="s">
        <v>44</v>
      </c>
      <c r="D51" s="4" t="s">
        <v>45</v>
      </c>
      <c r="E51" s="4" t="s">
        <v>48</v>
      </c>
      <c r="F51" s="4" t="s">
        <v>51</v>
      </c>
      <c r="G51" s="4" t="s">
        <v>136</v>
      </c>
      <c r="H51" s="4" t="s">
        <v>44</v>
      </c>
      <c r="I51" s="4">
        <f t="shared" si="0"/>
        <v>2</v>
      </c>
      <c r="J51" s="4" t="str">
        <f t="shared" si="1"/>
        <v/>
      </c>
      <c r="K51" s="4" t="str">
        <f>VLOOKUP(MONTH(B51),'03_Lookup'!A:B,2,FALSE)</f>
        <v>Jan</v>
      </c>
      <c r="L51" s="4" t="str">
        <f>IF(C51="","",VLOOKUP(MONTH(C51),'03_Lookup'!A:B,2,FALSE))</f>
        <v/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5" x14ac:dyDescent="0.25">
      <c r="A52" s="5">
        <v>49</v>
      </c>
      <c r="B52" s="6">
        <v>45322</v>
      </c>
      <c r="C52" s="4" t="s">
        <v>44</v>
      </c>
      <c r="D52" s="4" t="s">
        <v>45</v>
      </c>
      <c r="E52" s="4" t="s">
        <v>48</v>
      </c>
      <c r="F52" s="4" t="s">
        <v>51</v>
      </c>
      <c r="G52" s="4" t="s">
        <v>135</v>
      </c>
      <c r="H52" s="4" t="s">
        <v>44</v>
      </c>
      <c r="I52" s="4">
        <f t="shared" si="0"/>
        <v>5</v>
      </c>
      <c r="J52" s="4" t="str">
        <f t="shared" si="1"/>
        <v/>
      </c>
      <c r="K52" s="4" t="str">
        <f>VLOOKUP(MONTH(B52),'03_Lookup'!A:B,2,FALSE)</f>
        <v>Jan</v>
      </c>
      <c r="L52" s="4" t="str">
        <f>IF(C52="","",VLOOKUP(MONTH(C52),'03_Lookup'!A:B,2,FALSE))</f>
        <v/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5" x14ac:dyDescent="0.25">
      <c r="A53" s="5">
        <v>50</v>
      </c>
      <c r="B53" s="6">
        <v>45333</v>
      </c>
      <c r="C53" s="6">
        <v>45337</v>
      </c>
      <c r="D53" s="4" t="s">
        <v>50</v>
      </c>
      <c r="E53" s="4" t="s">
        <v>46</v>
      </c>
      <c r="F53" s="4" t="s">
        <v>47</v>
      </c>
      <c r="G53" s="4" t="s">
        <v>135</v>
      </c>
      <c r="H53" s="5">
        <v>96</v>
      </c>
      <c r="I53" s="4">
        <f t="shared" si="0"/>
        <v>6</v>
      </c>
      <c r="J53" s="4">
        <f t="shared" si="1"/>
        <v>7</v>
      </c>
      <c r="K53" s="4" t="str">
        <f>VLOOKUP(MONTH(B53),'03_Lookup'!A:B,2,FALSE)</f>
        <v>Feb</v>
      </c>
      <c r="L53" s="4" t="str">
        <f>IF(C53="","",VLOOKUP(MONTH(C53),'03_Lookup'!A:B,2,FALSE))</f>
        <v>Feb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5" x14ac:dyDescent="0.25">
      <c r="A54" s="5">
        <v>51</v>
      </c>
      <c r="B54" s="6">
        <v>45358</v>
      </c>
      <c r="C54" s="6">
        <v>45359</v>
      </c>
      <c r="D54" s="4" t="s">
        <v>50</v>
      </c>
      <c r="E54" s="4" t="s">
        <v>48</v>
      </c>
      <c r="F54" s="4" t="s">
        <v>51</v>
      </c>
      <c r="G54" s="4" t="s">
        <v>135</v>
      </c>
      <c r="H54" s="5">
        <v>24</v>
      </c>
      <c r="I54" s="4">
        <f t="shared" si="0"/>
        <v>10</v>
      </c>
      <c r="J54" s="4">
        <f t="shared" si="1"/>
        <v>10</v>
      </c>
      <c r="K54" s="4" t="str">
        <f>VLOOKUP(MONTH(B54),'03_Lookup'!A:B,2,FALSE)</f>
        <v>Mar</v>
      </c>
      <c r="L54" s="4" t="str">
        <f>IF(C54="","",VLOOKUP(MONTH(C54),'03_Lookup'!A:B,2,FALSE))</f>
        <v>Mar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5" x14ac:dyDescent="0.25">
      <c r="A55" s="5">
        <v>52</v>
      </c>
      <c r="B55" s="6">
        <v>45318</v>
      </c>
      <c r="C55" s="6">
        <v>45321</v>
      </c>
      <c r="D55" s="4" t="s">
        <v>50</v>
      </c>
      <c r="E55" s="4" t="s">
        <v>48</v>
      </c>
      <c r="F55" s="4" t="s">
        <v>47</v>
      </c>
      <c r="G55" s="4" t="s">
        <v>135</v>
      </c>
      <c r="H55" s="5">
        <v>72</v>
      </c>
      <c r="I55" s="4">
        <f t="shared" si="0"/>
        <v>4</v>
      </c>
      <c r="J55" s="4">
        <f t="shared" si="1"/>
        <v>5</v>
      </c>
      <c r="K55" s="4" t="str">
        <f>VLOOKUP(MONTH(B55),'03_Lookup'!A:B,2,FALSE)</f>
        <v>Jan</v>
      </c>
      <c r="L55" s="4" t="str">
        <f>IF(C55="","",VLOOKUP(MONTH(C55),'03_Lookup'!A:B,2,FALSE))</f>
        <v>Jan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5" x14ac:dyDescent="0.25">
      <c r="A56" s="5">
        <v>53</v>
      </c>
      <c r="B56" s="6">
        <v>45324</v>
      </c>
      <c r="C56" s="4" t="s">
        <v>44</v>
      </c>
      <c r="D56" s="4" t="s">
        <v>45</v>
      </c>
      <c r="E56" s="4" t="s">
        <v>48</v>
      </c>
      <c r="F56" s="4" t="s">
        <v>47</v>
      </c>
      <c r="G56" s="4" t="s">
        <v>136</v>
      </c>
      <c r="H56" s="4" t="s">
        <v>44</v>
      </c>
      <c r="I56" s="4">
        <f t="shared" si="0"/>
        <v>5</v>
      </c>
      <c r="J56" s="4" t="str">
        <f t="shared" si="1"/>
        <v/>
      </c>
      <c r="K56" s="4" t="str">
        <f>VLOOKUP(MONTH(B56),'03_Lookup'!A:B,2,FALSE)</f>
        <v>Feb</v>
      </c>
      <c r="L56" s="4" t="str">
        <f>IF(C56="","",VLOOKUP(MONTH(C56),'03_Lookup'!A:B,2,FALSE))</f>
        <v/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5" x14ac:dyDescent="0.25">
      <c r="A57" s="5">
        <v>54</v>
      </c>
      <c r="B57" s="6">
        <v>45303</v>
      </c>
      <c r="C57" s="6">
        <v>45304</v>
      </c>
      <c r="D57" s="4" t="s">
        <v>50</v>
      </c>
      <c r="E57" s="4" t="s">
        <v>48</v>
      </c>
      <c r="F57" s="4" t="s">
        <v>51</v>
      </c>
      <c r="G57" s="4" t="s">
        <v>136</v>
      </c>
      <c r="H57" s="5">
        <v>24</v>
      </c>
      <c r="I57" s="4">
        <f t="shared" si="0"/>
        <v>2</v>
      </c>
      <c r="J57" s="4">
        <f t="shared" si="1"/>
        <v>2</v>
      </c>
      <c r="K57" s="4" t="str">
        <f>VLOOKUP(MONTH(B57),'03_Lookup'!A:B,2,FALSE)</f>
        <v>Jan</v>
      </c>
      <c r="L57" s="4" t="str">
        <f>IF(C57="","",VLOOKUP(MONTH(C57),'03_Lookup'!A:B,2,FALSE))</f>
        <v>Jan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5" x14ac:dyDescent="0.25">
      <c r="A58" s="5">
        <v>55</v>
      </c>
      <c r="B58" s="6">
        <v>45357</v>
      </c>
      <c r="C58" s="4" t="s">
        <v>44</v>
      </c>
      <c r="D58" s="4" t="s">
        <v>45</v>
      </c>
      <c r="E58" s="4" t="s">
        <v>46</v>
      </c>
      <c r="F58" s="4" t="s">
        <v>51</v>
      </c>
      <c r="G58" s="4" t="s">
        <v>136</v>
      </c>
      <c r="H58" s="4" t="s">
        <v>44</v>
      </c>
      <c r="I58" s="4">
        <f t="shared" si="0"/>
        <v>10</v>
      </c>
      <c r="J58" s="4" t="str">
        <f t="shared" si="1"/>
        <v/>
      </c>
      <c r="K58" s="4" t="str">
        <f>VLOOKUP(MONTH(B58),'03_Lookup'!A:B,2,FALSE)</f>
        <v>Mar</v>
      </c>
      <c r="L58" s="4" t="str">
        <f>IF(C58="","",VLOOKUP(MONTH(C58),'03_Lookup'!A:B,2,FALSE))</f>
        <v/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5" x14ac:dyDescent="0.25">
      <c r="A59" s="5">
        <v>56</v>
      </c>
      <c r="B59" s="6">
        <v>45308</v>
      </c>
      <c r="C59" s="6">
        <v>45309</v>
      </c>
      <c r="D59" s="4" t="s">
        <v>50</v>
      </c>
      <c r="E59" s="4" t="s">
        <v>46</v>
      </c>
      <c r="F59" s="4" t="s">
        <v>49</v>
      </c>
      <c r="G59" s="4" t="s">
        <v>136</v>
      </c>
      <c r="H59" s="5">
        <v>24</v>
      </c>
      <c r="I59" s="4">
        <f t="shared" si="0"/>
        <v>3</v>
      </c>
      <c r="J59" s="4">
        <f t="shared" si="1"/>
        <v>3</v>
      </c>
      <c r="K59" s="4" t="str">
        <f>VLOOKUP(MONTH(B59),'03_Lookup'!A:B,2,FALSE)</f>
        <v>Jan</v>
      </c>
      <c r="L59" s="4" t="str">
        <f>IF(C59="","",VLOOKUP(MONTH(C59),'03_Lookup'!A:B,2,FALSE))</f>
        <v>Jan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5" x14ac:dyDescent="0.25">
      <c r="A60" s="5">
        <v>57</v>
      </c>
      <c r="B60" s="6">
        <v>45369</v>
      </c>
      <c r="C60" s="6">
        <v>45374</v>
      </c>
      <c r="D60" s="4" t="s">
        <v>50</v>
      </c>
      <c r="E60" s="4" t="s">
        <v>46</v>
      </c>
      <c r="F60" s="4" t="s">
        <v>47</v>
      </c>
      <c r="G60" s="4" t="s">
        <v>136</v>
      </c>
      <c r="H60" s="5">
        <v>120</v>
      </c>
      <c r="I60" s="4">
        <f t="shared" si="0"/>
        <v>12</v>
      </c>
      <c r="J60" s="4">
        <f t="shared" si="1"/>
        <v>12</v>
      </c>
      <c r="K60" s="4" t="str">
        <f>VLOOKUP(MONTH(B60),'03_Lookup'!A:B,2,FALSE)</f>
        <v>Mar</v>
      </c>
      <c r="L60" s="4" t="str">
        <f>IF(C60="","",VLOOKUP(MONTH(C60),'03_Lookup'!A:B,2,FALSE))</f>
        <v>Mar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5" x14ac:dyDescent="0.25">
      <c r="A61" s="5">
        <v>58</v>
      </c>
      <c r="B61" s="6">
        <v>45377</v>
      </c>
      <c r="C61" s="6">
        <v>45382</v>
      </c>
      <c r="D61" s="4" t="s">
        <v>50</v>
      </c>
      <c r="E61" s="4" t="s">
        <v>46</v>
      </c>
      <c r="F61" s="4" t="s">
        <v>47</v>
      </c>
      <c r="G61" s="4" t="s">
        <v>136</v>
      </c>
      <c r="H61" s="5">
        <v>120</v>
      </c>
      <c r="I61" s="4">
        <f t="shared" si="0"/>
        <v>13</v>
      </c>
      <c r="J61" s="4">
        <f t="shared" si="1"/>
        <v>13</v>
      </c>
      <c r="K61" s="4" t="str">
        <f>VLOOKUP(MONTH(B61),'03_Lookup'!A:B,2,FALSE)</f>
        <v>Mar</v>
      </c>
      <c r="L61" s="4" t="str">
        <f>IF(C61="","",VLOOKUP(MONTH(C61),'03_Lookup'!A:B,2,FALSE))</f>
        <v>Mar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5" x14ac:dyDescent="0.25">
      <c r="A62" s="5">
        <v>59</v>
      </c>
      <c r="B62" s="6">
        <v>45374</v>
      </c>
      <c r="C62" s="6">
        <v>45380</v>
      </c>
      <c r="D62" s="4" t="s">
        <v>50</v>
      </c>
      <c r="E62" s="4" t="s">
        <v>48</v>
      </c>
      <c r="F62" s="4" t="s">
        <v>51</v>
      </c>
      <c r="G62" s="4" t="s">
        <v>136</v>
      </c>
      <c r="H62" s="5">
        <v>144</v>
      </c>
      <c r="I62" s="4">
        <f t="shared" si="0"/>
        <v>12</v>
      </c>
      <c r="J62" s="4">
        <f t="shared" si="1"/>
        <v>13</v>
      </c>
      <c r="K62" s="4" t="str">
        <f>VLOOKUP(MONTH(B62),'03_Lookup'!A:B,2,FALSE)</f>
        <v>Mar</v>
      </c>
      <c r="L62" s="4" t="str">
        <f>IF(C62="","",VLOOKUP(MONTH(C62),'03_Lookup'!A:B,2,FALSE))</f>
        <v>Mar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5" x14ac:dyDescent="0.25">
      <c r="A63" s="5">
        <v>60</v>
      </c>
      <c r="B63" s="6">
        <v>45350</v>
      </c>
      <c r="C63" s="4" t="s">
        <v>44</v>
      </c>
      <c r="D63" s="4" t="s">
        <v>45</v>
      </c>
      <c r="E63" s="4" t="s">
        <v>48</v>
      </c>
      <c r="F63" s="4" t="s">
        <v>47</v>
      </c>
      <c r="G63" s="4" t="s">
        <v>135</v>
      </c>
      <c r="H63" s="4" t="s">
        <v>44</v>
      </c>
      <c r="I63" s="4">
        <f t="shared" si="0"/>
        <v>9</v>
      </c>
      <c r="J63" s="4" t="str">
        <f t="shared" si="1"/>
        <v/>
      </c>
      <c r="K63" s="4" t="str">
        <f>VLOOKUP(MONTH(B63),'03_Lookup'!A:B,2,FALSE)</f>
        <v>Feb</v>
      </c>
      <c r="L63" s="4" t="str">
        <f>IF(C63="","",VLOOKUP(MONTH(C63),'03_Lookup'!A:B,2,FALSE))</f>
        <v/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 x14ac:dyDescent="0.25">
      <c r="A64" s="5">
        <v>61</v>
      </c>
      <c r="B64" s="6">
        <v>45322</v>
      </c>
      <c r="C64" s="4" t="s">
        <v>44</v>
      </c>
      <c r="D64" s="4" t="s">
        <v>45</v>
      </c>
      <c r="E64" s="4" t="s">
        <v>46</v>
      </c>
      <c r="F64" s="4" t="s">
        <v>51</v>
      </c>
      <c r="G64" s="4" t="s">
        <v>136</v>
      </c>
      <c r="H64" s="4" t="s">
        <v>44</v>
      </c>
      <c r="I64" s="4">
        <f t="shared" si="0"/>
        <v>5</v>
      </c>
      <c r="J64" s="4" t="str">
        <f t="shared" si="1"/>
        <v/>
      </c>
      <c r="K64" s="4" t="str">
        <f>VLOOKUP(MONTH(B64),'03_Lookup'!A:B,2,FALSE)</f>
        <v>Jan</v>
      </c>
      <c r="L64" s="4" t="str">
        <f>IF(C64="","",VLOOKUP(MONTH(C64),'03_Lookup'!A:B,2,FALSE))</f>
        <v/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5" x14ac:dyDescent="0.25">
      <c r="A65" s="5">
        <v>62</v>
      </c>
      <c r="B65" s="6">
        <v>45301</v>
      </c>
      <c r="C65" s="6">
        <v>45311</v>
      </c>
      <c r="D65" s="4" t="s">
        <v>50</v>
      </c>
      <c r="E65" s="4" t="s">
        <v>46</v>
      </c>
      <c r="F65" s="4" t="s">
        <v>49</v>
      </c>
      <c r="G65" s="4" t="s">
        <v>135</v>
      </c>
      <c r="H65" s="5">
        <v>240</v>
      </c>
      <c r="I65" s="4">
        <f t="shared" si="0"/>
        <v>2</v>
      </c>
      <c r="J65" s="4">
        <f t="shared" si="1"/>
        <v>3</v>
      </c>
      <c r="K65" s="4" t="str">
        <f>VLOOKUP(MONTH(B65),'03_Lookup'!A:B,2,FALSE)</f>
        <v>Jan</v>
      </c>
      <c r="L65" s="4" t="str">
        <f>IF(C65="","",VLOOKUP(MONTH(C65),'03_Lookup'!A:B,2,FALSE))</f>
        <v>Jan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5" x14ac:dyDescent="0.25">
      <c r="A66" s="5">
        <v>63</v>
      </c>
      <c r="B66" s="6">
        <v>45352</v>
      </c>
      <c r="C66" s="4" t="s">
        <v>44</v>
      </c>
      <c r="D66" s="4" t="s">
        <v>45</v>
      </c>
      <c r="E66" s="4" t="s">
        <v>46</v>
      </c>
      <c r="F66" s="4" t="s">
        <v>47</v>
      </c>
      <c r="G66" s="4" t="s">
        <v>136</v>
      </c>
      <c r="H66" s="4" t="s">
        <v>44</v>
      </c>
      <c r="I66" s="4">
        <f t="shared" si="0"/>
        <v>9</v>
      </c>
      <c r="J66" s="4" t="str">
        <f t="shared" si="1"/>
        <v/>
      </c>
      <c r="K66" s="4" t="str">
        <f>VLOOKUP(MONTH(B66),'03_Lookup'!A:B,2,FALSE)</f>
        <v>Mar</v>
      </c>
      <c r="L66" s="4" t="str">
        <f>IF(C66="","",VLOOKUP(MONTH(C66),'03_Lookup'!A:B,2,FALSE))</f>
        <v/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 x14ac:dyDescent="0.25">
      <c r="A67" s="5">
        <v>64</v>
      </c>
      <c r="B67" s="6">
        <v>45347</v>
      </c>
      <c r="C67" s="4" t="s">
        <v>44</v>
      </c>
      <c r="D67" s="4" t="s">
        <v>45</v>
      </c>
      <c r="E67" s="4" t="s">
        <v>46</v>
      </c>
      <c r="F67" s="4" t="s">
        <v>47</v>
      </c>
      <c r="G67" s="4" t="s">
        <v>135</v>
      </c>
      <c r="H67" s="4" t="s">
        <v>44</v>
      </c>
      <c r="I67" s="4">
        <f t="shared" si="0"/>
        <v>8</v>
      </c>
      <c r="J67" s="4" t="str">
        <f t="shared" si="1"/>
        <v/>
      </c>
      <c r="K67" s="4" t="str">
        <f>VLOOKUP(MONTH(B67),'03_Lookup'!A:B,2,FALSE)</f>
        <v>Feb</v>
      </c>
      <c r="L67" s="4" t="str">
        <f>IF(C67="","",VLOOKUP(MONTH(C67),'03_Lookup'!A:B,2,FALSE))</f>
        <v/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 x14ac:dyDescent="0.25">
      <c r="A68" s="5">
        <v>65</v>
      </c>
      <c r="B68" s="6">
        <v>45330</v>
      </c>
      <c r="C68" s="6">
        <v>45338</v>
      </c>
      <c r="D68" s="4" t="s">
        <v>50</v>
      </c>
      <c r="E68" s="4" t="s">
        <v>48</v>
      </c>
      <c r="F68" s="4" t="s">
        <v>47</v>
      </c>
      <c r="G68" s="4" t="s">
        <v>136</v>
      </c>
      <c r="H68" s="5">
        <v>192</v>
      </c>
      <c r="I68" s="4">
        <f t="shared" si="0"/>
        <v>6</v>
      </c>
      <c r="J68" s="4">
        <f t="shared" si="1"/>
        <v>7</v>
      </c>
      <c r="K68" s="4" t="str">
        <f>VLOOKUP(MONTH(B68),'03_Lookup'!A:B,2,FALSE)</f>
        <v>Feb</v>
      </c>
      <c r="L68" s="4" t="str">
        <f>IF(C68="","",VLOOKUP(MONTH(C68),'03_Lookup'!A:B,2,FALSE))</f>
        <v>Feb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 x14ac:dyDescent="0.25">
      <c r="A69" s="5">
        <v>66</v>
      </c>
      <c r="B69" s="6">
        <v>45329</v>
      </c>
      <c r="C69" s="4" t="s">
        <v>44</v>
      </c>
      <c r="D69" s="4" t="s">
        <v>45</v>
      </c>
      <c r="E69" s="4" t="s">
        <v>46</v>
      </c>
      <c r="F69" s="4" t="s">
        <v>47</v>
      </c>
      <c r="G69" s="4" t="s">
        <v>136</v>
      </c>
      <c r="H69" s="4" t="s">
        <v>44</v>
      </c>
      <c r="I69" s="4">
        <f t="shared" si="0"/>
        <v>6</v>
      </c>
      <c r="J69" s="4" t="str">
        <f t="shared" si="1"/>
        <v/>
      </c>
      <c r="K69" s="4" t="str">
        <f>VLOOKUP(MONTH(B69),'03_Lookup'!A:B,2,FALSE)</f>
        <v>Feb</v>
      </c>
      <c r="L69" s="4" t="str">
        <f>IF(C69="","",VLOOKUP(MONTH(C69),'03_Lookup'!A:B,2,FALSE))</f>
        <v/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 x14ac:dyDescent="0.25">
      <c r="A70" s="5">
        <v>67</v>
      </c>
      <c r="B70" s="6">
        <v>45314</v>
      </c>
      <c r="C70" s="4" t="s">
        <v>44</v>
      </c>
      <c r="D70" s="4" t="s">
        <v>45</v>
      </c>
      <c r="E70" s="4" t="s">
        <v>46</v>
      </c>
      <c r="F70" s="4" t="s">
        <v>51</v>
      </c>
      <c r="G70" s="4" t="s">
        <v>136</v>
      </c>
      <c r="H70" s="4" t="s">
        <v>44</v>
      </c>
      <c r="I70" s="4">
        <f t="shared" si="0"/>
        <v>4</v>
      </c>
      <c r="J70" s="4" t="str">
        <f t="shared" si="1"/>
        <v/>
      </c>
      <c r="K70" s="4" t="str">
        <f>VLOOKUP(MONTH(B70),'03_Lookup'!A:B,2,FALSE)</f>
        <v>Jan</v>
      </c>
      <c r="L70" s="4" t="str">
        <f>IF(C70="","",VLOOKUP(MONTH(C70),'03_Lookup'!A:B,2,FALSE))</f>
        <v/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 x14ac:dyDescent="0.25">
      <c r="A71" s="5">
        <v>68</v>
      </c>
      <c r="B71" s="6">
        <v>45319</v>
      </c>
      <c r="C71" s="4" t="s">
        <v>44</v>
      </c>
      <c r="D71" s="4" t="s">
        <v>45</v>
      </c>
      <c r="E71" s="4" t="s">
        <v>46</v>
      </c>
      <c r="F71" s="4" t="s">
        <v>51</v>
      </c>
      <c r="G71" s="4" t="s">
        <v>136</v>
      </c>
      <c r="H71" s="4" t="s">
        <v>44</v>
      </c>
      <c r="I71" s="4">
        <f t="shared" si="0"/>
        <v>4</v>
      </c>
      <c r="J71" s="4" t="str">
        <f t="shared" si="1"/>
        <v/>
      </c>
      <c r="K71" s="4" t="str">
        <f>VLOOKUP(MONTH(B71),'03_Lookup'!A:B,2,FALSE)</f>
        <v>Jan</v>
      </c>
      <c r="L71" s="4" t="str">
        <f>IF(C71="","",VLOOKUP(MONTH(C71),'03_Lookup'!A:B,2,FALSE))</f>
        <v/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 x14ac:dyDescent="0.25">
      <c r="A72" s="5">
        <v>69</v>
      </c>
      <c r="B72" s="6">
        <v>45296</v>
      </c>
      <c r="C72" s="4" t="s">
        <v>44</v>
      </c>
      <c r="D72" s="4" t="s">
        <v>45</v>
      </c>
      <c r="E72" s="4" t="s">
        <v>46</v>
      </c>
      <c r="F72" s="4" t="s">
        <v>51</v>
      </c>
      <c r="G72" s="4" t="s">
        <v>136</v>
      </c>
      <c r="H72" s="4" t="s">
        <v>44</v>
      </c>
      <c r="I72" s="4">
        <f t="shared" si="0"/>
        <v>1</v>
      </c>
      <c r="J72" s="4" t="str">
        <f t="shared" si="1"/>
        <v/>
      </c>
      <c r="K72" s="4" t="str">
        <f>VLOOKUP(MONTH(B72),'03_Lookup'!A:B,2,FALSE)</f>
        <v>Jan</v>
      </c>
      <c r="L72" s="4" t="str">
        <f>IF(C72="","",VLOOKUP(MONTH(C72),'03_Lookup'!A:B,2,FALSE))</f>
        <v/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 x14ac:dyDescent="0.25">
      <c r="A73" s="5">
        <v>70</v>
      </c>
      <c r="B73" s="6">
        <v>45323</v>
      </c>
      <c r="C73" s="4" t="s">
        <v>44</v>
      </c>
      <c r="D73" s="4" t="s">
        <v>45</v>
      </c>
      <c r="E73" s="4" t="s">
        <v>46</v>
      </c>
      <c r="F73" s="4" t="s">
        <v>49</v>
      </c>
      <c r="G73" s="4" t="s">
        <v>136</v>
      </c>
      <c r="H73" s="4" t="s">
        <v>44</v>
      </c>
      <c r="I73" s="4">
        <f t="shared" si="0"/>
        <v>5</v>
      </c>
      <c r="J73" s="4" t="str">
        <f t="shared" si="1"/>
        <v/>
      </c>
      <c r="K73" s="4" t="str">
        <f>VLOOKUP(MONTH(B73),'03_Lookup'!A:B,2,FALSE)</f>
        <v>Feb</v>
      </c>
      <c r="L73" s="4" t="str">
        <f>IF(C73="","",VLOOKUP(MONTH(C73),'03_Lookup'!A:B,2,FALSE))</f>
        <v/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 x14ac:dyDescent="0.25">
      <c r="A74" s="5">
        <v>71</v>
      </c>
      <c r="B74" s="6">
        <v>45335</v>
      </c>
      <c r="C74" s="4" t="s">
        <v>44</v>
      </c>
      <c r="D74" s="4" t="s">
        <v>45</v>
      </c>
      <c r="E74" s="4" t="s">
        <v>46</v>
      </c>
      <c r="F74" s="4" t="s">
        <v>51</v>
      </c>
      <c r="G74" s="4" t="s">
        <v>136</v>
      </c>
      <c r="H74" s="4" t="s">
        <v>44</v>
      </c>
      <c r="I74" s="4">
        <f t="shared" si="0"/>
        <v>7</v>
      </c>
      <c r="J74" s="4" t="str">
        <f t="shared" si="1"/>
        <v/>
      </c>
      <c r="K74" s="4" t="str">
        <f>VLOOKUP(MONTH(B74),'03_Lookup'!A:B,2,FALSE)</f>
        <v>Feb</v>
      </c>
      <c r="L74" s="4" t="str">
        <f>IF(C74="","",VLOOKUP(MONTH(C74),'03_Lookup'!A:B,2,FALSE))</f>
        <v/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 x14ac:dyDescent="0.25">
      <c r="A75" s="5">
        <v>72</v>
      </c>
      <c r="B75" s="6">
        <v>45359</v>
      </c>
      <c r="C75" s="6">
        <v>45361</v>
      </c>
      <c r="D75" s="4" t="s">
        <v>50</v>
      </c>
      <c r="E75" s="4" t="s">
        <v>46</v>
      </c>
      <c r="F75" s="4" t="s">
        <v>51</v>
      </c>
      <c r="G75" s="4" t="s">
        <v>135</v>
      </c>
      <c r="H75" s="5">
        <v>48</v>
      </c>
      <c r="I75" s="4">
        <f t="shared" si="0"/>
        <v>10</v>
      </c>
      <c r="J75" s="4">
        <f t="shared" si="1"/>
        <v>10</v>
      </c>
      <c r="K75" s="4" t="str">
        <f>VLOOKUP(MONTH(B75),'03_Lookup'!A:B,2,FALSE)</f>
        <v>Mar</v>
      </c>
      <c r="L75" s="4" t="str">
        <f>IF(C75="","",VLOOKUP(MONTH(C75),'03_Lookup'!A:B,2,FALSE))</f>
        <v>Mar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 x14ac:dyDescent="0.25">
      <c r="A76" s="5">
        <v>73</v>
      </c>
      <c r="B76" s="6">
        <v>45355</v>
      </c>
      <c r="C76" s="4" t="s">
        <v>44</v>
      </c>
      <c r="D76" s="4" t="s">
        <v>45</v>
      </c>
      <c r="E76" s="4" t="s">
        <v>46</v>
      </c>
      <c r="F76" s="4" t="s">
        <v>49</v>
      </c>
      <c r="G76" s="4" t="s">
        <v>136</v>
      </c>
      <c r="H76" s="4" t="s">
        <v>44</v>
      </c>
      <c r="I76" s="4">
        <f t="shared" si="0"/>
        <v>10</v>
      </c>
      <c r="J76" s="4" t="str">
        <f t="shared" si="1"/>
        <v/>
      </c>
      <c r="K76" s="4" t="str">
        <f>VLOOKUP(MONTH(B76),'03_Lookup'!A:B,2,FALSE)</f>
        <v>Mar</v>
      </c>
      <c r="L76" s="4" t="str">
        <f>IF(C76="","",VLOOKUP(MONTH(C76),'03_Lookup'!A:B,2,FALSE))</f>
        <v/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5" x14ac:dyDescent="0.25">
      <c r="A77" s="5">
        <v>74</v>
      </c>
      <c r="B77" s="6">
        <v>45336</v>
      </c>
      <c r="C77" s="6">
        <v>45341</v>
      </c>
      <c r="D77" s="4" t="s">
        <v>50</v>
      </c>
      <c r="E77" s="4" t="s">
        <v>48</v>
      </c>
      <c r="F77" s="4" t="s">
        <v>51</v>
      </c>
      <c r="G77" s="4" t="s">
        <v>136</v>
      </c>
      <c r="H77" s="5">
        <v>120</v>
      </c>
      <c r="I77" s="4">
        <f t="shared" si="0"/>
        <v>7</v>
      </c>
      <c r="J77" s="4">
        <f t="shared" si="1"/>
        <v>8</v>
      </c>
      <c r="K77" s="4" t="str">
        <f>VLOOKUP(MONTH(B77),'03_Lookup'!A:B,2,FALSE)</f>
        <v>Feb</v>
      </c>
      <c r="L77" s="4" t="str">
        <f>IF(C77="","",VLOOKUP(MONTH(C77),'03_Lookup'!A:B,2,FALSE))</f>
        <v>Feb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 x14ac:dyDescent="0.25">
      <c r="A78" s="5">
        <v>75</v>
      </c>
      <c r="B78" s="6">
        <v>45352</v>
      </c>
      <c r="C78" s="6">
        <v>45357</v>
      </c>
      <c r="D78" s="4" t="s">
        <v>50</v>
      </c>
      <c r="E78" s="4" t="s">
        <v>46</v>
      </c>
      <c r="F78" s="4" t="s">
        <v>47</v>
      </c>
      <c r="G78" s="4" t="s">
        <v>136</v>
      </c>
      <c r="H78" s="5">
        <v>120</v>
      </c>
      <c r="I78" s="4">
        <f t="shared" si="0"/>
        <v>9</v>
      </c>
      <c r="J78" s="4">
        <f t="shared" si="1"/>
        <v>10</v>
      </c>
      <c r="K78" s="4" t="str">
        <f>VLOOKUP(MONTH(B78),'03_Lookup'!A:B,2,FALSE)</f>
        <v>Mar</v>
      </c>
      <c r="L78" s="4" t="str">
        <f>IF(C78="","",VLOOKUP(MONTH(C78),'03_Lookup'!A:B,2,FALSE))</f>
        <v>Mar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 x14ac:dyDescent="0.25">
      <c r="A79" s="5">
        <v>76</v>
      </c>
      <c r="B79" s="6">
        <v>45304</v>
      </c>
      <c r="C79" s="4" t="s">
        <v>44</v>
      </c>
      <c r="D79" s="4" t="s">
        <v>45</v>
      </c>
      <c r="E79" s="4" t="s">
        <v>46</v>
      </c>
      <c r="F79" s="4" t="s">
        <v>47</v>
      </c>
      <c r="G79" s="4" t="s">
        <v>136</v>
      </c>
      <c r="H79" s="4" t="s">
        <v>44</v>
      </c>
      <c r="I79" s="4">
        <f t="shared" si="0"/>
        <v>2</v>
      </c>
      <c r="J79" s="4" t="str">
        <f t="shared" si="1"/>
        <v/>
      </c>
      <c r="K79" s="4" t="str">
        <f>VLOOKUP(MONTH(B79),'03_Lookup'!A:B,2,FALSE)</f>
        <v>Jan</v>
      </c>
      <c r="L79" s="4" t="str">
        <f>IF(C79="","",VLOOKUP(MONTH(C79),'03_Lookup'!A:B,2,FALSE))</f>
        <v/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5" x14ac:dyDescent="0.25">
      <c r="A80" s="5">
        <v>77</v>
      </c>
      <c r="B80" s="6">
        <v>45343</v>
      </c>
      <c r="C80" s="4" t="s">
        <v>44</v>
      </c>
      <c r="D80" s="4" t="s">
        <v>45</v>
      </c>
      <c r="E80" s="4" t="s">
        <v>48</v>
      </c>
      <c r="F80" s="4" t="s">
        <v>47</v>
      </c>
      <c r="G80" s="4" t="s">
        <v>135</v>
      </c>
      <c r="H80" s="4" t="s">
        <v>44</v>
      </c>
      <c r="I80" s="4">
        <f t="shared" si="0"/>
        <v>8</v>
      </c>
      <c r="J80" s="4" t="str">
        <f t="shared" si="1"/>
        <v/>
      </c>
      <c r="K80" s="4" t="str">
        <f>VLOOKUP(MONTH(B80),'03_Lookup'!A:B,2,FALSE)</f>
        <v>Feb</v>
      </c>
      <c r="L80" s="4" t="str">
        <f>IF(C80="","",VLOOKUP(MONTH(C80),'03_Lookup'!A:B,2,FALSE))</f>
        <v/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 x14ac:dyDescent="0.25">
      <c r="A81" s="5">
        <v>78</v>
      </c>
      <c r="B81" s="6">
        <v>45372</v>
      </c>
      <c r="C81" s="4" t="s">
        <v>44</v>
      </c>
      <c r="D81" s="4" t="s">
        <v>45</v>
      </c>
      <c r="E81" s="4" t="s">
        <v>48</v>
      </c>
      <c r="F81" s="4" t="s">
        <v>47</v>
      </c>
      <c r="G81" s="4" t="s">
        <v>135</v>
      </c>
      <c r="H81" s="4" t="s">
        <v>44</v>
      </c>
      <c r="I81" s="4">
        <f t="shared" si="0"/>
        <v>12</v>
      </c>
      <c r="J81" s="4" t="str">
        <f t="shared" si="1"/>
        <v/>
      </c>
      <c r="K81" s="4" t="str">
        <f>VLOOKUP(MONTH(B81),'03_Lookup'!A:B,2,FALSE)</f>
        <v>Mar</v>
      </c>
      <c r="L81" s="4" t="str">
        <f>IF(C81="","",VLOOKUP(MONTH(C81),'03_Lookup'!A:B,2,FALSE))</f>
        <v/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 x14ac:dyDescent="0.25">
      <c r="A82" s="5">
        <v>79</v>
      </c>
      <c r="B82" s="6">
        <v>45354</v>
      </c>
      <c r="C82" s="6">
        <v>45358</v>
      </c>
      <c r="D82" s="4" t="s">
        <v>50</v>
      </c>
      <c r="E82" s="4" t="s">
        <v>46</v>
      </c>
      <c r="F82" s="4" t="s">
        <v>49</v>
      </c>
      <c r="G82" s="4" t="s">
        <v>136</v>
      </c>
      <c r="H82" s="5">
        <v>96</v>
      </c>
      <c r="I82" s="4">
        <f t="shared" si="0"/>
        <v>9</v>
      </c>
      <c r="J82" s="4">
        <f t="shared" si="1"/>
        <v>10</v>
      </c>
      <c r="K82" s="4" t="str">
        <f>VLOOKUP(MONTH(B82),'03_Lookup'!A:B,2,FALSE)</f>
        <v>Mar</v>
      </c>
      <c r="L82" s="4" t="str">
        <f>IF(C82="","",VLOOKUP(MONTH(C82),'03_Lookup'!A:B,2,FALSE))</f>
        <v>Mar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 x14ac:dyDescent="0.25">
      <c r="A83" s="5">
        <v>80</v>
      </c>
      <c r="B83" s="6">
        <v>45359</v>
      </c>
      <c r="C83" s="6">
        <v>45363</v>
      </c>
      <c r="D83" s="4" t="s">
        <v>50</v>
      </c>
      <c r="E83" s="4" t="s">
        <v>48</v>
      </c>
      <c r="F83" s="4" t="s">
        <v>49</v>
      </c>
      <c r="G83" s="4" t="s">
        <v>135</v>
      </c>
      <c r="H83" s="5">
        <v>96</v>
      </c>
      <c r="I83" s="4">
        <f t="shared" si="0"/>
        <v>10</v>
      </c>
      <c r="J83" s="4">
        <f t="shared" si="1"/>
        <v>11</v>
      </c>
      <c r="K83" s="4" t="str">
        <f>VLOOKUP(MONTH(B83),'03_Lookup'!A:B,2,FALSE)</f>
        <v>Mar</v>
      </c>
      <c r="L83" s="4" t="str">
        <f>IF(C83="","",VLOOKUP(MONTH(C83),'03_Lookup'!A:B,2,FALSE))</f>
        <v>Mar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 x14ac:dyDescent="0.25">
      <c r="A84" s="5">
        <v>81</v>
      </c>
      <c r="B84" s="6">
        <v>45311</v>
      </c>
      <c r="C84" s="4" t="s">
        <v>44</v>
      </c>
      <c r="D84" s="4" t="s">
        <v>45</v>
      </c>
      <c r="E84" s="4" t="s">
        <v>48</v>
      </c>
      <c r="F84" s="4" t="s">
        <v>47</v>
      </c>
      <c r="G84" s="4" t="s">
        <v>136</v>
      </c>
      <c r="H84" s="4" t="s">
        <v>44</v>
      </c>
      <c r="I84" s="4">
        <f t="shared" si="0"/>
        <v>3</v>
      </c>
      <c r="J84" s="4" t="str">
        <f t="shared" si="1"/>
        <v/>
      </c>
      <c r="K84" s="4" t="str">
        <f>VLOOKUP(MONTH(B84),'03_Lookup'!A:B,2,FALSE)</f>
        <v>Jan</v>
      </c>
      <c r="L84" s="4" t="str">
        <f>IF(C84="","",VLOOKUP(MONTH(C84),'03_Lookup'!A:B,2,FALSE))</f>
        <v/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 x14ac:dyDescent="0.25">
      <c r="A85" s="5">
        <v>82</v>
      </c>
      <c r="B85" s="6">
        <v>45366</v>
      </c>
      <c r="C85" s="4" t="s">
        <v>44</v>
      </c>
      <c r="D85" s="4" t="s">
        <v>45</v>
      </c>
      <c r="E85" s="4" t="s">
        <v>48</v>
      </c>
      <c r="F85" s="4" t="s">
        <v>47</v>
      </c>
      <c r="G85" s="4" t="s">
        <v>135</v>
      </c>
      <c r="H85" s="4" t="s">
        <v>44</v>
      </c>
      <c r="I85" s="4">
        <f t="shared" si="0"/>
        <v>11</v>
      </c>
      <c r="J85" s="4" t="str">
        <f t="shared" si="1"/>
        <v/>
      </c>
      <c r="K85" s="4" t="str">
        <f>VLOOKUP(MONTH(B85),'03_Lookup'!A:B,2,FALSE)</f>
        <v>Mar</v>
      </c>
      <c r="L85" s="4" t="str">
        <f>IF(C85="","",VLOOKUP(MONTH(C85),'03_Lookup'!A:B,2,FALSE))</f>
        <v/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5" x14ac:dyDescent="0.25">
      <c r="A86" s="5">
        <v>83</v>
      </c>
      <c r="B86" s="6">
        <v>45375</v>
      </c>
      <c r="C86" s="6">
        <v>45380</v>
      </c>
      <c r="D86" s="4" t="s">
        <v>50</v>
      </c>
      <c r="E86" s="4" t="s">
        <v>48</v>
      </c>
      <c r="F86" s="4" t="s">
        <v>47</v>
      </c>
      <c r="G86" s="4" t="s">
        <v>136</v>
      </c>
      <c r="H86" s="5">
        <v>120</v>
      </c>
      <c r="I86" s="4">
        <f t="shared" si="0"/>
        <v>12</v>
      </c>
      <c r="J86" s="4">
        <f t="shared" si="1"/>
        <v>13</v>
      </c>
      <c r="K86" s="4" t="str">
        <f>VLOOKUP(MONTH(B86),'03_Lookup'!A:B,2,FALSE)</f>
        <v>Mar</v>
      </c>
      <c r="L86" s="4" t="str">
        <f>IF(C86="","",VLOOKUP(MONTH(C86),'03_Lookup'!A:B,2,FALSE))</f>
        <v>Mar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 x14ac:dyDescent="0.25">
      <c r="A87" s="5">
        <v>84</v>
      </c>
      <c r="B87" s="6">
        <v>45365</v>
      </c>
      <c r="C87" s="6">
        <v>45368</v>
      </c>
      <c r="D87" s="4" t="s">
        <v>50</v>
      </c>
      <c r="E87" s="4" t="s">
        <v>48</v>
      </c>
      <c r="F87" s="4" t="s">
        <v>49</v>
      </c>
      <c r="G87" s="4" t="s">
        <v>135</v>
      </c>
      <c r="H87" s="5">
        <v>72</v>
      </c>
      <c r="I87" s="4">
        <f t="shared" si="0"/>
        <v>11</v>
      </c>
      <c r="J87" s="4">
        <f t="shared" si="1"/>
        <v>11</v>
      </c>
      <c r="K87" s="4" t="str">
        <f>VLOOKUP(MONTH(B87),'03_Lookup'!A:B,2,FALSE)</f>
        <v>Mar</v>
      </c>
      <c r="L87" s="4" t="str">
        <f>IF(C87="","",VLOOKUP(MONTH(C87),'03_Lookup'!A:B,2,FALSE))</f>
        <v>Mar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 x14ac:dyDescent="0.25">
      <c r="A88" s="5">
        <v>85</v>
      </c>
      <c r="B88" s="6">
        <v>45338</v>
      </c>
      <c r="C88" s="4" t="s">
        <v>44</v>
      </c>
      <c r="D88" s="4" t="s">
        <v>45</v>
      </c>
      <c r="E88" s="4" t="s">
        <v>48</v>
      </c>
      <c r="F88" s="4" t="s">
        <v>49</v>
      </c>
      <c r="G88" s="4" t="s">
        <v>136</v>
      </c>
      <c r="H88" s="4" t="s">
        <v>44</v>
      </c>
      <c r="I88" s="4">
        <f t="shared" si="0"/>
        <v>7</v>
      </c>
      <c r="J88" s="4" t="str">
        <f t="shared" si="1"/>
        <v/>
      </c>
      <c r="K88" s="4" t="str">
        <f>VLOOKUP(MONTH(B88),'03_Lookup'!A:B,2,FALSE)</f>
        <v>Feb</v>
      </c>
      <c r="L88" s="4" t="str">
        <f>IF(C88="","",VLOOKUP(MONTH(C88),'03_Lookup'!A:B,2,FALSE))</f>
        <v/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 x14ac:dyDescent="0.25">
      <c r="A89" s="5">
        <v>86</v>
      </c>
      <c r="B89" s="6">
        <v>45352</v>
      </c>
      <c r="C89" s="6">
        <v>45359</v>
      </c>
      <c r="D89" s="4" t="s">
        <v>50</v>
      </c>
      <c r="E89" s="4" t="s">
        <v>48</v>
      </c>
      <c r="F89" s="4" t="s">
        <v>49</v>
      </c>
      <c r="G89" s="4" t="s">
        <v>136</v>
      </c>
      <c r="H89" s="5">
        <v>168</v>
      </c>
      <c r="I89" s="4">
        <f t="shared" si="0"/>
        <v>9</v>
      </c>
      <c r="J89" s="4">
        <f t="shared" si="1"/>
        <v>10</v>
      </c>
      <c r="K89" s="4" t="str">
        <f>VLOOKUP(MONTH(B89),'03_Lookup'!A:B,2,FALSE)</f>
        <v>Mar</v>
      </c>
      <c r="L89" s="4" t="str">
        <f>IF(C89="","",VLOOKUP(MONTH(C89),'03_Lookup'!A:B,2,FALSE))</f>
        <v>Mar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5" x14ac:dyDescent="0.25">
      <c r="A90" s="5">
        <v>87</v>
      </c>
      <c r="B90" s="6">
        <v>45353</v>
      </c>
      <c r="C90" s="4" t="s">
        <v>44</v>
      </c>
      <c r="D90" s="4" t="s">
        <v>45</v>
      </c>
      <c r="E90" s="4" t="s">
        <v>46</v>
      </c>
      <c r="F90" s="4" t="s">
        <v>51</v>
      </c>
      <c r="G90" s="4" t="s">
        <v>136</v>
      </c>
      <c r="H90" s="4" t="s">
        <v>44</v>
      </c>
      <c r="I90" s="4">
        <f t="shared" si="0"/>
        <v>9</v>
      </c>
      <c r="J90" s="4" t="str">
        <f t="shared" si="1"/>
        <v/>
      </c>
      <c r="K90" s="4" t="str">
        <f>VLOOKUP(MONTH(B90),'03_Lookup'!A:B,2,FALSE)</f>
        <v>Mar</v>
      </c>
      <c r="L90" s="4" t="str">
        <f>IF(C90="","",VLOOKUP(MONTH(C90),'03_Lookup'!A:B,2,FALSE))</f>
        <v/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5" x14ac:dyDescent="0.25">
      <c r="A91" s="5">
        <v>88</v>
      </c>
      <c r="B91" s="6">
        <v>45303</v>
      </c>
      <c r="C91" s="4" t="s">
        <v>44</v>
      </c>
      <c r="D91" s="4" t="s">
        <v>45</v>
      </c>
      <c r="E91" s="4" t="s">
        <v>48</v>
      </c>
      <c r="F91" s="4" t="s">
        <v>47</v>
      </c>
      <c r="G91" s="4" t="s">
        <v>136</v>
      </c>
      <c r="H91" s="4" t="s">
        <v>44</v>
      </c>
      <c r="I91" s="4">
        <f t="shared" si="0"/>
        <v>2</v>
      </c>
      <c r="J91" s="4" t="str">
        <f t="shared" si="1"/>
        <v/>
      </c>
      <c r="K91" s="4" t="str">
        <f>VLOOKUP(MONTH(B91),'03_Lookup'!A:B,2,FALSE)</f>
        <v>Jan</v>
      </c>
      <c r="L91" s="4" t="str">
        <f>IF(C91="","",VLOOKUP(MONTH(C91),'03_Lookup'!A:B,2,FALSE))</f>
        <v/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5" x14ac:dyDescent="0.25">
      <c r="A92" s="5">
        <v>89</v>
      </c>
      <c r="B92" s="6">
        <v>45316</v>
      </c>
      <c r="C92" s="6">
        <v>45320</v>
      </c>
      <c r="D92" s="4" t="s">
        <v>50</v>
      </c>
      <c r="E92" s="4" t="s">
        <v>48</v>
      </c>
      <c r="F92" s="4" t="s">
        <v>47</v>
      </c>
      <c r="G92" s="4" t="s">
        <v>135</v>
      </c>
      <c r="H92" s="5">
        <v>96</v>
      </c>
      <c r="I92" s="4">
        <f t="shared" si="0"/>
        <v>4</v>
      </c>
      <c r="J92" s="4">
        <f t="shared" si="1"/>
        <v>5</v>
      </c>
      <c r="K92" s="4" t="str">
        <f>VLOOKUP(MONTH(B92),'03_Lookup'!A:B,2,FALSE)</f>
        <v>Jan</v>
      </c>
      <c r="L92" s="4" t="str">
        <f>IF(C92="","",VLOOKUP(MONTH(C92),'03_Lookup'!A:B,2,FALSE))</f>
        <v>Jan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5" x14ac:dyDescent="0.25">
      <c r="A93" s="5">
        <v>90</v>
      </c>
      <c r="B93" s="6">
        <v>45299</v>
      </c>
      <c r="C93" s="6">
        <v>45303</v>
      </c>
      <c r="D93" s="4" t="s">
        <v>50</v>
      </c>
      <c r="E93" s="4" t="s">
        <v>48</v>
      </c>
      <c r="F93" s="4" t="s">
        <v>47</v>
      </c>
      <c r="G93" s="4" t="s">
        <v>136</v>
      </c>
      <c r="H93" s="5">
        <v>96</v>
      </c>
      <c r="I93" s="4">
        <f t="shared" si="0"/>
        <v>2</v>
      </c>
      <c r="J93" s="4">
        <f t="shared" si="1"/>
        <v>2</v>
      </c>
      <c r="K93" s="4" t="str">
        <f>VLOOKUP(MONTH(B93),'03_Lookup'!A:B,2,FALSE)</f>
        <v>Jan</v>
      </c>
      <c r="L93" s="4" t="str">
        <f>IF(C93="","",VLOOKUP(MONTH(C93),'03_Lookup'!A:B,2,FALSE))</f>
        <v>Jan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5" x14ac:dyDescent="0.25">
      <c r="A94" s="5">
        <v>91</v>
      </c>
      <c r="B94" s="6">
        <v>45314</v>
      </c>
      <c r="C94" s="4" t="s">
        <v>44</v>
      </c>
      <c r="D94" s="4" t="s">
        <v>45</v>
      </c>
      <c r="E94" s="4" t="s">
        <v>46</v>
      </c>
      <c r="F94" s="4" t="s">
        <v>49</v>
      </c>
      <c r="G94" s="4" t="s">
        <v>135</v>
      </c>
      <c r="H94" s="4" t="s">
        <v>44</v>
      </c>
      <c r="I94" s="4">
        <f t="shared" si="0"/>
        <v>4</v>
      </c>
      <c r="J94" s="4" t="str">
        <f t="shared" si="1"/>
        <v/>
      </c>
      <c r="K94" s="4" t="str">
        <f>VLOOKUP(MONTH(B94),'03_Lookup'!A:B,2,FALSE)</f>
        <v>Jan</v>
      </c>
      <c r="L94" s="4" t="str">
        <f>IF(C94="","",VLOOKUP(MONTH(C94),'03_Lookup'!A:B,2,FALSE))</f>
        <v/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5" x14ac:dyDescent="0.25">
      <c r="A95" s="5">
        <v>92</v>
      </c>
      <c r="B95" s="6">
        <v>45327</v>
      </c>
      <c r="C95" s="4" t="s">
        <v>44</v>
      </c>
      <c r="D95" s="4" t="s">
        <v>45</v>
      </c>
      <c r="E95" s="4" t="s">
        <v>48</v>
      </c>
      <c r="F95" s="4" t="s">
        <v>51</v>
      </c>
      <c r="G95" s="4" t="s">
        <v>135</v>
      </c>
      <c r="H95" s="4" t="s">
        <v>44</v>
      </c>
      <c r="I95" s="4">
        <f t="shared" si="0"/>
        <v>6</v>
      </c>
      <c r="J95" s="4" t="str">
        <f t="shared" si="1"/>
        <v/>
      </c>
      <c r="K95" s="4" t="str">
        <f>VLOOKUP(MONTH(B95),'03_Lookup'!A:B,2,FALSE)</f>
        <v>Feb</v>
      </c>
      <c r="L95" s="4" t="str">
        <f>IF(C95="","",VLOOKUP(MONTH(C95),'03_Lookup'!A:B,2,FALSE))</f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5" x14ac:dyDescent="0.25">
      <c r="A96" s="5">
        <v>93</v>
      </c>
      <c r="B96" s="6">
        <v>45293</v>
      </c>
      <c r="C96" s="4" t="s">
        <v>44</v>
      </c>
      <c r="D96" s="4" t="s">
        <v>45</v>
      </c>
      <c r="E96" s="4" t="s">
        <v>48</v>
      </c>
      <c r="F96" s="4" t="s">
        <v>47</v>
      </c>
      <c r="G96" s="4" t="s">
        <v>135</v>
      </c>
      <c r="H96" s="4" t="s">
        <v>44</v>
      </c>
      <c r="I96" s="4">
        <f t="shared" si="0"/>
        <v>1</v>
      </c>
      <c r="J96" s="4" t="str">
        <f t="shared" si="1"/>
        <v/>
      </c>
      <c r="K96" s="4" t="str">
        <f>VLOOKUP(MONTH(B96),'03_Lookup'!A:B,2,FALSE)</f>
        <v>Jan</v>
      </c>
      <c r="L96" s="4" t="str">
        <f>IF(C96="","",VLOOKUP(MONTH(C96),'03_Lookup'!A:B,2,FALSE))</f>
        <v/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5" x14ac:dyDescent="0.25">
      <c r="A97" s="5">
        <v>94</v>
      </c>
      <c r="B97" s="6">
        <v>45359</v>
      </c>
      <c r="C97" s="4" t="s">
        <v>44</v>
      </c>
      <c r="D97" s="4" t="s">
        <v>45</v>
      </c>
      <c r="E97" s="4" t="s">
        <v>48</v>
      </c>
      <c r="F97" s="4" t="s">
        <v>49</v>
      </c>
      <c r="G97" s="4" t="s">
        <v>136</v>
      </c>
      <c r="H97" s="4" t="s">
        <v>44</v>
      </c>
      <c r="I97" s="4">
        <f t="shared" si="0"/>
        <v>10</v>
      </c>
      <c r="J97" s="4" t="str">
        <f t="shared" si="1"/>
        <v/>
      </c>
      <c r="K97" s="4" t="str">
        <f>VLOOKUP(MONTH(B97),'03_Lookup'!A:B,2,FALSE)</f>
        <v>Mar</v>
      </c>
      <c r="L97" s="4" t="str">
        <f>IF(C97="","",VLOOKUP(MONTH(C97),'03_Lookup'!A:B,2,FALSE))</f>
        <v/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5" x14ac:dyDescent="0.25">
      <c r="A98" s="5">
        <v>95</v>
      </c>
      <c r="B98" s="6">
        <v>45347</v>
      </c>
      <c r="C98" s="6">
        <v>45356</v>
      </c>
      <c r="D98" s="4" t="s">
        <v>50</v>
      </c>
      <c r="E98" s="4" t="s">
        <v>46</v>
      </c>
      <c r="F98" s="4" t="s">
        <v>47</v>
      </c>
      <c r="G98" s="4" t="s">
        <v>135</v>
      </c>
      <c r="H98" s="5">
        <v>216</v>
      </c>
      <c r="I98" s="4">
        <f t="shared" si="0"/>
        <v>8</v>
      </c>
      <c r="J98" s="4">
        <f t="shared" si="1"/>
        <v>10</v>
      </c>
      <c r="K98" s="4" t="str">
        <f>VLOOKUP(MONTH(B98),'03_Lookup'!A:B,2,FALSE)</f>
        <v>Feb</v>
      </c>
      <c r="L98" s="4" t="str">
        <f>IF(C98="","",VLOOKUP(MONTH(C98),'03_Lookup'!A:B,2,FALSE))</f>
        <v>Mar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5" x14ac:dyDescent="0.25">
      <c r="A99" s="5">
        <v>96</v>
      </c>
      <c r="B99" s="6">
        <v>45344</v>
      </c>
      <c r="C99" s="4" t="s">
        <v>44</v>
      </c>
      <c r="D99" s="4" t="s">
        <v>45</v>
      </c>
      <c r="E99" s="4" t="s">
        <v>46</v>
      </c>
      <c r="F99" s="4" t="s">
        <v>47</v>
      </c>
      <c r="G99" s="4" t="s">
        <v>135</v>
      </c>
      <c r="H99" s="4" t="s">
        <v>44</v>
      </c>
      <c r="I99" s="4">
        <f t="shared" si="0"/>
        <v>8</v>
      </c>
      <c r="J99" s="4" t="str">
        <f t="shared" si="1"/>
        <v/>
      </c>
      <c r="K99" s="4" t="str">
        <f>VLOOKUP(MONTH(B99),'03_Lookup'!A:B,2,FALSE)</f>
        <v>Feb</v>
      </c>
      <c r="L99" s="4" t="str">
        <f>IF(C99="","",VLOOKUP(MONTH(C99),'03_Lookup'!A:B,2,FALSE))</f>
        <v/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5" x14ac:dyDescent="0.25">
      <c r="A100" s="5">
        <v>97</v>
      </c>
      <c r="B100" s="6">
        <v>45350</v>
      </c>
      <c r="C100" s="6">
        <v>45352</v>
      </c>
      <c r="D100" s="4" t="s">
        <v>50</v>
      </c>
      <c r="E100" s="4" t="s">
        <v>48</v>
      </c>
      <c r="F100" s="4" t="s">
        <v>51</v>
      </c>
      <c r="G100" s="4" t="s">
        <v>135</v>
      </c>
      <c r="H100" s="5">
        <v>48</v>
      </c>
      <c r="I100" s="4">
        <f t="shared" si="0"/>
        <v>9</v>
      </c>
      <c r="J100" s="4">
        <f t="shared" si="1"/>
        <v>9</v>
      </c>
      <c r="K100" s="4" t="str">
        <f>VLOOKUP(MONTH(B100),'03_Lookup'!A:B,2,FALSE)</f>
        <v>Feb</v>
      </c>
      <c r="L100" s="4" t="str">
        <f>IF(C100="","",VLOOKUP(MONTH(C100),'03_Lookup'!A:B,2,FALSE))</f>
        <v>Mar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5" x14ac:dyDescent="0.25">
      <c r="A101" s="5">
        <v>98</v>
      </c>
      <c r="B101" s="6">
        <v>45341</v>
      </c>
      <c r="C101" s="6">
        <v>45349</v>
      </c>
      <c r="D101" s="4" t="s">
        <v>50</v>
      </c>
      <c r="E101" s="4" t="s">
        <v>46</v>
      </c>
      <c r="F101" s="4" t="s">
        <v>47</v>
      </c>
      <c r="G101" s="4" t="s">
        <v>135</v>
      </c>
      <c r="H101" s="5">
        <v>192</v>
      </c>
      <c r="I101" s="4">
        <f t="shared" si="0"/>
        <v>8</v>
      </c>
      <c r="J101" s="4">
        <f t="shared" si="1"/>
        <v>9</v>
      </c>
      <c r="K101" s="4" t="str">
        <f>VLOOKUP(MONTH(B101),'03_Lookup'!A:B,2,FALSE)</f>
        <v>Feb</v>
      </c>
      <c r="L101" s="4" t="str">
        <f>IF(C101="","",VLOOKUP(MONTH(C101),'03_Lookup'!A:B,2,FALSE))</f>
        <v>Feb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5" x14ac:dyDescent="0.25">
      <c r="A102" s="5">
        <v>99</v>
      </c>
      <c r="B102" s="6">
        <v>45344</v>
      </c>
      <c r="C102" s="4" t="s">
        <v>44</v>
      </c>
      <c r="D102" s="4" t="s">
        <v>45</v>
      </c>
      <c r="E102" s="4" t="s">
        <v>48</v>
      </c>
      <c r="F102" s="4" t="s">
        <v>49</v>
      </c>
      <c r="G102" s="4" t="s">
        <v>135</v>
      </c>
      <c r="H102" s="4" t="s">
        <v>44</v>
      </c>
      <c r="I102" s="4">
        <f t="shared" si="0"/>
        <v>8</v>
      </c>
      <c r="J102" s="4" t="str">
        <f t="shared" si="1"/>
        <v/>
      </c>
      <c r="K102" s="4" t="str">
        <f>VLOOKUP(MONTH(B102),'03_Lookup'!A:B,2,FALSE)</f>
        <v>Feb</v>
      </c>
      <c r="L102" s="4" t="str">
        <f>IF(C102="","",VLOOKUP(MONTH(C102),'03_Lookup'!A:B,2,FALSE))</f>
        <v/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5" x14ac:dyDescent="0.25">
      <c r="A103" s="5">
        <v>100</v>
      </c>
      <c r="B103" s="6">
        <v>45359</v>
      </c>
      <c r="C103" s="4" t="s">
        <v>44</v>
      </c>
      <c r="D103" s="4" t="s">
        <v>45</v>
      </c>
      <c r="E103" s="4" t="s">
        <v>48</v>
      </c>
      <c r="F103" s="4" t="s">
        <v>49</v>
      </c>
      <c r="G103" s="4" t="s">
        <v>136</v>
      </c>
      <c r="H103" s="4" t="s">
        <v>44</v>
      </c>
      <c r="I103" s="4">
        <f t="shared" si="0"/>
        <v>10</v>
      </c>
      <c r="J103" s="4" t="str">
        <f t="shared" si="1"/>
        <v/>
      </c>
      <c r="K103" s="4" t="str">
        <f>VLOOKUP(MONTH(B103),'03_Lookup'!A:B,2,FALSE)</f>
        <v>Mar</v>
      </c>
      <c r="L103" s="4" t="str">
        <f>IF(C103="","",VLOOKUP(MONTH(C103),'03_Lookup'!A:B,2,FALSE))</f>
        <v/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5" x14ac:dyDescent="0.25">
      <c r="A104" s="5">
        <v>101</v>
      </c>
      <c r="B104" s="6">
        <v>45354</v>
      </c>
      <c r="C104" s="4" t="s">
        <v>44</v>
      </c>
      <c r="D104" s="4" t="s">
        <v>45</v>
      </c>
      <c r="E104" s="4" t="s">
        <v>46</v>
      </c>
      <c r="F104" s="4" t="s">
        <v>47</v>
      </c>
      <c r="G104" s="4" t="s">
        <v>136</v>
      </c>
      <c r="H104" s="4" t="s">
        <v>44</v>
      </c>
      <c r="I104" s="4">
        <f t="shared" si="0"/>
        <v>9</v>
      </c>
      <c r="J104" s="4" t="str">
        <f t="shared" si="1"/>
        <v/>
      </c>
      <c r="K104" s="4" t="str">
        <f>VLOOKUP(MONTH(B104),'03_Lookup'!A:B,2,FALSE)</f>
        <v>Mar</v>
      </c>
      <c r="L104" s="4" t="str">
        <f>IF(C104="","",VLOOKUP(MONTH(C104),'03_Lookup'!A:B,2,FALSE))</f>
        <v/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5" x14ac:dyDescent="0.25">
      <c r="A105" s="5">
        <v>102</v>
      </c>
      <c r="B105" s="6">
        <v>45324</v>
      </c>
      <c r="C105" s="4" t="s">
        <v>44</v>
      </c>
      <c r="D105" s="4" t="s">
        <v>45</v>
      </c>
      <c r="E105" s="4" t="s">
        <v>48</v>
      </c>
      <c r="F105" s="4" t="s">
        <v>47</v>
      </c>
      <c r="G105" s="4" t="s">
        <v>135</v>
      </c>
      <c r="H105" s="4" t="s">
        <v>44</v>
      </c>
      <c r="I105" s="4">
        <f t="shared" si="0"/>
        <v>5</v>
      </c>
      <c r="J105" s="4" t="str">
        <f t="shared" si="1"/>
        <v/>
      </c>
      <c r="K105" s="4" t="str">
        <f>VLOOKUP(MONTH(B105),'03_Lookup'!A:B,2,FALSE)</f>
        <v>Feb</v>
      </c>
      <c r="L105" s="4" t="str">
        <f>IF(C105="","",VLOOKUP(MONTH(C105),'03_Lookup'!A:B,2,FALSE))</f>
        <v/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5" x14ac:dyDescent="0.25">
      <c r="A106" s="5">
        <v>103</v>
      </c>
      <c r="B106" s="6">
        <v>45294</v>
      </c>
      <c r="C106" s="4" t="s">
        <v>44</v>
      </c>
      <c r="D106" s="4" t="s">
        <v>45</v>
      </c>
      <c r="E106" s="4" t="s">
        <v>46</v>
      </c>
      <c r="F106" s="4" t="s">
        <v>47</v>
      </c>
      <c r="G106" s="4" t="s">
        <v>135</v>
      </c>
      <c r="H106" s="4" t="s">
        <v>44</v>
      </c>
      <c r="I106" s="4">
        <f t="shared" si="0"/>
        <v>1</v>
      </c>
      <c r="J106" s="4" t="str">
        <f t="shared" si="1"/>
        <v/>
      </c>
      <c r="K106" s="4" t="str">
        <f>VLOOKUP(MONTH(B106),'03_Lookup'!A:B,2,FALSE)</f>
        <v>Jan</v>
      </c>
      <c r="L106" s="4" t="str">
        <f>IF(C106="","",VLOOKUP(MONTH(C106),'03_Lookup'!A:B,2,FALSE))</f>
        <v/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5" x14ac:dyDescent="0.25">
      <c r="A107" s="5">
        <v>104</v>
      </c>
      <c r="B107" s="6">
        <v>45368</v>
      </c>
      <c r="C107" s="6">
        <v>45374</v>
      </c>
      <c r="D107" s="4" t="s">
        <v>50</v>
      </c>
      <c r="E107" s="4" t="s">
        <v>48</v>
      </c>
      <c r="F107" s="4" t="s">
        <v>49</v>
      </c>
      <c r="G107" s="4" t="s">
        <v>135</v>
      </c>
      <c r="H107" s="5">
        <v>144</v>
      </c>
      <c r="I107" s="4">
        <f t="shared" si="0"/>
        <v>11</v>
      </c>
      <c r="J107" s="4">
        <f t="shared" si="1"/>
        <v>12</v>
      </c>
      <c r="K107" s="4" t="str">
        <f>VLOOKUP(MONTH(B107),'03_Lookup'!A:B,2,FALSE)</f>
        <v>Mar</v>
      </c>
      <c r="L107" s="4" t="str">
        <f>IF(C107="","",VLOOKUP(MONTH(C107),'03_Lookup'!A:B,2,FALSE))</f>
        <v>Mar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5" x14ac:dyDescent="0.25">
      <c r="A108" s="5">
        <v>105</v>
      </c>
      <c r="B108" s="6">
        <v>45379</v>
      </c>
      <c r="C108" s="6">
        <v>45380</v>
      </c>
      <c r="D108" s="4" t="s">
        <v>50</v>
      </c>
      <c r="E108" s="4" t="s">
        <v>46</v>
      </c>
      <c r="F108" s="4" t="s">
        <v>51</v>
      </c>
      <c r="G108" s="4" t="s">
        <v>136</v>
      </c>
      <c r="H108" s="5">
        <v>24</v>
      </c>
      <c r="I108" s="4">
        <f t="shared" si="0"/>
        <v>13</v>
      </c>
      <c r="J108" s="4">
        <f t="shared" si="1"/>
        <v>13</v>
      </c>
      <c r="K108" s="4" t="str">
        <f>VLOOKUP(MONTH(B108),'03_Lookup'!A:B,2,FALSE)</f>
        <v>Mar</v>
      </c>
      <c r="L108" s="4" t="str">
        <f>IF(C108="","",VLOOKUP(MONTH(C108),'03_Lookup'!A:B,2,FALSE))</f>
        <v>Mar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5" x14ac:dyDescent="0.25">
      <c r="A109" s="5">
        <v>106</v>
      </c>
      <c r="B109" s="6">
        <v>45359</v>
      </c>
      <c r="C109" s="4" t="s">
        <v>44</v>
      </c>
      <c r="D109" s="4" t="s">
        <v>45</v>
      </c>
      <c r="E109" s="4" t="s">
        <v>46</v>
      </c>
      <c r="F109" s="4" t="s">
        <v>47</v>
      </c>
      <c r="G109" s="4" t="s">
        <v>136</v>
      </c>
      <c r="H109" s="4" t="s">
        <v>44</v>
      </c>
      <c r="I109" s="4">
        <f t="shared" si="0"/>
        <v>10</v>
      </c>
      <c r="J109" s="4" t="str">
        <f t="shared" si="1"/>
        <v/>
      </c>
      <c r="K109" s="4" t="str">
        <f>VLOOKUP(MONTH(B109),'03_Lookup'!A:B,2,FALSE)</f>
        <v>Mar</v>
      </c>
      <c r="L109" s="4" t="str">
        <f>IF(C109="","",VLOOKUP(MONTH(C109),'03_Lookup'!A:B,2,FALSE))</f>
        <v/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5" x14ac:dyDescent="0.25">
      <c r="A110" s="5">
        <v>107</v>
      </c>
      <c r="B110" s="6">
        <v>45369</v>
      </c>
      <c r="C110" s="4" t="s">
        <v>44</v>
      </c>
      <c r="D110" s="4" t="s">
        <v>45</v>
      </c>
      <c r="E110" s="4" t="s">
        <v>46</v>
      </c>
      <c r="F110" s="4" t="s">
        <v>47</v>
      </c>
      <c r="G110" s="4" t="s">
        <v>135</v>
      </c>
      <c r="H110" s="4" t="s">
        <v>44</v>
      </c>
      <c r="I110" s="4">
        <f t="shared" si="0"/>
        <v>12</v>
      </c>
      <c r="J110" s="4" t="str">
        <f t="shared" si="1"/>
        <v/>
      </c>
      <c r="K110" s="4" t="str">
        <f>VLOOKUP(MONTH(B110),'03_Lookup'!A:B,2,FALSE)</f>
        <v>Mar</v>
      </c>
      <c r="L110" s="4" t="str">
        <f>IF(C110="","",VLOOKUP(MONTH(C110),'03_Lookup'!A:B,2,FALSE))</f>
        <v/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5" x14ac:dyDescent="0.25">
      <c r="A111" s="5">
        <v>108</v>
      </c>
      <c r="B111" s="6">
        <v>45336</v>
      </c>
      <c r="C111" s="6">
        <v>45343</v>
      </c>
      <c r="D111" s="4" t="s">
        <v>50</v>
      </c>
      <c r="E111" s="4" t="s">
        <v>46</v>
      </c>
      <c r="F111" s="4" t="s">
        <v>49</v>
      </c>
      <c r="G111" s="4" t="s">
        <v>136</v>
      </c>
      <c r="H111" s="5">
        <v>168</v>
      </c>
      <c r="I111" s="4">
        <f t="shared" si="0"/>
        <v>7</v>
      </c>
      <c r="J111" s="4">
        <f t="shared" si="1"/>
        <v>8</v>
      </c>
      <c r="K111" s="4" t="str">
        <f>VLOOKUP(MONTH(B111),'03_Lookup'!A:B,2,FALSE)</f>
        <v>Feb</v>
      </c>
      <c r="L111" s="4" t="str">
        <f>IF(C111="","",VLOOKUP(MONTH(C111),'03_Lookup'!A:B,2,FALSE))</f>
        <v>Feb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5" x14ac:dyDescent="0.25">
      <c r="A112" s="5">
        <v>109</v>
      </c>
      <c r="B112" s="6">
        <v>45304</v>
      </c>
      <c r="C112" s="4" t="s">
        <v>44</v>
      </c>
      <c r="D112" s="4" t="s">
        <v>45</v>
      </c>
      <c r="E112" s="4" t="s">
        <v>46</v>
      </c>
      <c r="F112" s="4" t="s">
        <v>49</v>
      </c>
      <c r="G112" s="4" t="s">
        <v>135</v>
      </c>
      <c r="H112" s="4" t="s">
        <v>44</v>
      </c>
      <c r="I112" s="4">
        <f t="shared" si="0"/>
        <v>2</v>
      </c>
      <c r="J112" s="4" t="str">
        <f t="shared" si="1"/>
        <v/>
      </c>
      <c r="K112" s="4" t="str">
        <f>VLOOKUP(MONTH(B112),'03_Lookup'!A:B,2,FALSE)</f>
        <v>Jan</v>
      </c>
      <c r="L112" s="4" t="str">
        <f>IF(C112="","",VLOOKUP(MONTH(C112),'03_Lookup'!A:B,2,FALSE))</f>
        <v/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5" x14ac:dyDescent="0.25">
      <c r="A113" s="5">
        <v>110</v>
      </c>
      <c r="B113" s="6">
        <v>45302</v>
      </c>
      <c r="C113" s="6">
        <v>45303</v>
      </c>
      <c r="D113" s="4" t="s">
        <v>50</v>
      </c>
      <c r="E113" s="4" t="s">
        <v>48</v>
      </c>
      <c r="F113" s="4" t="s">
        <v>51</v>
      </c>
      <c r="G113" s="4" t="s">
        <v>136</v>
      </c>
      <c r="H113" s="5">
        <v>24</v>
      </c>
      <c r="I113" s="4">
        <f t="shared" si="0"/>
        <v>2</v>
      </c>
      <c r="J113" s="4">
        <f t="shared" si="1"/>
        <v>2</v>
      </c>
      <c r="K113" s="4" t="str">
        <f>VLOOKUP(MONTH(B113),'03_Lookup'!A:B,2,FALSE)</f>
        <v>Jan</v>
      </c>
      <c r="L113" s="4" t="str">
        <f>IF(C113="","",VLOOKUP(MONTH(C113),'03_Lookup'!A:B,2,FALSE))</f>
        <v>Jan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5" x14ac:dyDescent="0.25">
      <c r="A114" s="5">
        <v>111</v>
      </c>
      <c r="B114" s="6">
        <v>45334</v>
      </c>
      <c r="C114" s="6">
        <v>45339</v>
      </c>
      <c r="D114" s="4" t="s">
        <v>50</v>
      </c>
      <c r="E114" s="4" t="s">
        <v>46</v>
      </c>
      <c r="F114" s="4" t="s">
        <v>49</v>
      </c>
      <c r="G114" s="4" t="s">
        <v>136</v>
      </c>
      <c r="H114" s="5">
        <v>120</v>
      </c>
      <c r="I114" s="4">
        <f t="shared" si="0"/>
        <v>7</v>
      </c>
      <c r="J114" s="4">
        <f t="shared" si="1"/>
        <v>7</v>
      </c>
      <c r="K114" s="4" t="str">
        <f>VLOOKUP(MONTH(B114),'03_Lookup'!A:B,2,FALSE)</f>
        <v>Feb</v>
      </c>
      <c r="L114" s="4" t="str">
        <f>IF(C114="","",VLOOKUP(MONTH(C114),'03_Lookup'!A:B,2,FALSE))</f>
        <v>Feb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5" x14ac:dyDescent="0.25">
      <c r="A115" s="5">
        <v>112</v>
      </c>
      <c r="B115" s="6">
        <v>45341</v>
      </c>
      <c r="C115" s="4" t="s">
        <v>44</v>
      </c>
      <c r="D115" s="4" t="s">
        <v>45</v>
      </c>
      <c r="E115" s="4" t="s">
        <v>48</v>
      </c>
      <c r="F115" s="4" t="s">
        <v>47</v>
      </c>
      <c r="G115" s="4" t="s">
        <v>136</v>
      </c>
      <c r="H115" s="4" t="s">
        <v>44</v>
      </c>
      <c r="I115" s="4">
        <f t="shared" si="0"/>
        <v>8</v>
      </c>
      <c r="J115" s="4" t="str">
        <f t="shared" si="1"/>
        <v/>
      </c>
      <c r="K115" s="4" t="str">
        <f>VLOOKUP(MONTH(B115),'03_Lookup'!A:B,2,FALSE)</f>
        <v>Feb</v>
      </c>
      <c r="L115" s="4" t="str">
        <f>IF(C115="","",VLOOKUP(MONTH(C115),'03_Lookup'!A:B,2,FALSE))</f>
        <v/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5" x14ac:dyDescent="0.25">
      <c r="A116" s="5">
        <v>113</v>
      </c>
      <c r="B116" s="6">
        <v>45358</v>
      </c>
      <c r="C116" s="4" t="s">
        <v>44</v>
      </c>
      <c r="D116" s="4" t="s">
        <v>45</v>
      </c>
      <c r="E116" s="4" t="s">
        <v>48</v>
      </c>
      <c r="F116" s="4" t="s">
        <v>51</v>
      </c>
      <c r="G116" s="4" t="s">
        <v>136</v>
      </c>
      <c r="H116" s="4" t="s">
        <v>44</v>
      </c>
      <c r="I116" s="4">
        <f t="shared" si="0"/>
        <v>10</v>
      </c>
      <c r="J116" s="4" t="str">
        <f t="shared" si="1"/>
        <v/>
      </c>
      <c r="K116" s="4" t="str">
        <f>VLOOKUP(MONTH(B116),'03_Lookup'!A:B,2,FALSE)</f>
        <v>Mar</v>
      </c>
      <c r="L116" s="4" t="str">
        <f>IF(C116="","",VLOOKUP(MONTH(C116),'03_Lookup'!A:B,2,FALSE))</f>
        <v/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5" x14ac:dyDescent="0.25">
      <c r="A117" s="5">
        <v>114</v>
      </c>
      <c r="B117" s="6">
        <v>45379</v>
      </c>
      <c r="C117" s="4" t="s">
        <v>44</v>
      </c>
      <c r="D117" s="4" t="s">
        <v>45</v>
      </c>
      <c r="E117" s="4" t="s">
        <v>46</v>
      </c>
      <c r="F117" s="4" t="s">
        <v>47</v>
      </c>
      <c r="G117" s="4" t="s">
        <v>135</v>
      </c>
      <c r="H117" s="4" t="s">
        <v>44</v>
      </c>
      <c r="I117" s="4">
        <f t="shared" si="0"/>
        <v>13</v>
      </c>
      <c r="J117" s="4" t="str">
        <f t="shared" si="1"/>
        <v/>
      </c>
      <c r="K117" s="4" t="str">
        <f>VLOOKUP(MONTH(B117),'03_Lookup'!A:B,2,FALSE)</f>
        <v>Mar</v>
      </c>
      <c r="L117" s="4" t="str">
        <f>IF(C117="","",VLOOKUP(MONTH(C117),'03_Lookup'!A:B,2,FALSE))</f>
        <v/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5" x14ac:dyDescent="0.25">
      <c r="A118" s="5">
        <v>115</v>
      </c>
      <c r="B118" s="6">
        <v>45327</v>
      </c>
      <c r="C118" s="4" t="s">
        <v>44</v>
      </c>
      <c r="D118" s="4" t="s">
        <v>45</v>
      </c>
      <c r="E118" s="4" t="s">
        <v>48</v>
      </c>
      <c r="F118" s="4" t="s">
        <v>51</v>
      </c>
      <c r="G118" s="4" t="s">
        <v>135</v>
      </c>
      <c r="H118" s="4" t="s">
        <v>44</v>
      </c>
      <c r="I118" s="4">
        <f t="shared" si="0"/>
        <v>6</v>
      </c>
      <c r="J118" s="4" t="str">
        <f t="shared" si="1"/>
        <v/>
      </c>
      <c r="K118" s="4" t="str">
        <f>VLOOKUP(MONTH(B118),'03_Lookup'!A:B,2,FALSE)</f>
        <v>Feb</v>
      </c>
      <c r="L118" s="4" t="str">
        <f>IF(C118="","",VLOOKUP(MONTH(C118),'03_Lookup'!A:B,2,FALSE))</f>
        <v/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5" x14ac:dyDescent="0.25">
      <c r="A119" s="5">
        <v>116</v>
      </c>
      <c r="B119" s="6">
        <v>45352</v>
      </c>
      <c r="C119" s="4" t="s">
        <v>44</v>
      </c>
      <c r="D119" s="4" t="s">
        <v>45</v>
      </c>
      <c r="E119" s="4" t="s">
        <v>46</v>
      </c>
      <c r="F119" s="4" t="s">
        <v>49</v>
      </c>
      <c r="G119" s="4" t="s">
        <v>135</v>
      </c>
      <c r="H119" s="4" t="s">
        <v>44</v>
      </c>
      <c r="I119" s="4">
        <f t="shared" si="0"/>
        <v>9</v>
      </c>
      <c r="J119" s="4" t="str">
        <f t="shared" si="1"/>
        <v/>
      </c>
      <c r="K119" s="4" t="str">
        <f>VLOOKUP(MONTH(B119),'03_Lookup'!A:B,2,FALSE)</f>
        <v>Mar</v>
      </c>
      <c r="L119" s="4" t="str">
        <f>IF(C119="","",VLOOKUP(MONTH(C119),'03_Lookup'!A:B,2,FALSE))</f>
        <v/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5" x14ac:dyDescent="0.25">
      <c r="A120" s="5">
        <v>117</v>
      </c>
      <c r="B120" s="6">
        <v>45341</v>
      </c>
      <c r="C120" s="4" t="s">
        <v>44</v>
      </c>
      <c r="D120" s="4" t="s">
        <v>45</v>
      </c>
      <c r="E120" s="4" t="s">
        <v>46</v>
      </c>
      <c r="F120" s="4" t="s">
        <v>51</v>
      </c>
      <c r="G120" s="4" t="s">
        <v>135</v>
      </c>
      <c r="H120" s="4" t="s">
        <v>44</v>
      </c>
      <c r="I120" s="4">
        <f t="shared" si="0"/>
        <v>8</v>
      </c>
      <c r="J120" s="4" t="str">
        <f t="shared" si="1"/>
        <v/>
      </c>
      <c r="K120" s="4" t="str">
        <f>VLOOKUP(MONTH(B120),'03_Lookup'!A:B,2,FALSE)</f>
        <v>Feb</v>
      </c>
      <c r="L120" s="4" t="str">
        <f>IF(C120="","",VLOOKUP(MONTH(C120),'03_Lookup'!A:B,2,FALSE))</f>
        <v/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5" x14ac:dyDescent="0.25">
      <c r="A121" s="5">
        <v>118</v>
      </c>
      <c r="B121" s="6">
        <v>45347</v>
      </c>
      <c r="C121" s="4" t="s">
        <v>44</v>
      </c>
      <c r="D121" s="4" t="s">
        <v>45</v>
      </c>
      <c r="E121" s="4" t="s">
        <v>48</v>
      </c>
      <c r="F121" s="4" t="s">
        <v>49</v>
      </c>
      <c r="G121" s="4" t="s">
        <v>135</v>
      </c>
      <c r="H121" s="4" t="s">
        <v>44</v>
      </c>
      <c r="I121" s="4">
        <f t="shared" si="0"/>
        <v>8</v>
      </c>
      <c r="J121" s="4" t="str">
        <f t="shared" si="1"/>
        <v/>
      </c>
      <c r="K121" s="4" t="str">
        <f>VLOOKUP(MONTH(B121),'03_Lookup'!A:B,2,FALSE)</f>
        <v>Feb</v>
      </c>
      <c r="L121" s="4" t="str">
        <f>IF(C121="","",VLOOKUP(MONTH(C121),'03_Lookup'!A:B,2,FALSE))</f>
        <v/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5" x14ac:dyDescent="0.25">
      <c r="A122" s="5">
        <v>119</v>
      </c>
      <c r="B122" s="6">
        <v>45313</v>
      </c>
      <c r="C122" s="4" t="s">
        <v>44</v>
      </c>
      <c r="D122" s="4" t="s">
        <v>45</v>
      </c>
      <c r="E122" s="4" t="s">
        <v>48</v>
      </c>
      <c r="F122" s="4" t="s">
        <v>47</v>
      </c>
      <c r="G122" s="4" t="s">
        <v>135</v>
      </c>
      <c r="H122" s="4" t="s">
        <v>44</v>
      </c>
      <c r="I122" s="4">
        <f t="shared" si="0"/>
        <v>4</v>
      </c>
      <c r="J122" s="4" t="str">
        <f t="shared" si="1"/>
        <v/>
      </c>
      <c r="K122" s="4" t="str">
        <f>VLOOKUP(MONTH(B122),'03_Lookup'!A:B,2,FALSE)</f>
        <v>Jan</v>
      </c>
      <c r="L122" s="4" t="str">
        <f>IF(C122="","",VLOOKUP(MONTH(C122),'03_Lookup'!A:B,2,FALSE))</f>
        <v/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5" x14ac:dyDescent="0.25">
      <c r="A123" s="5">
        <v>120</v>
      </c>
      <c r="B123" s="6">
        <v>45321</v>
      </c>
      <c r="C123" s="4" t="s">
        <v>44</v>
      </c>
      <c r="D123" s="4" t="s">
        <v>45</v>
      </c>
      <c r="E123" s="4" t="s">
        <v>48</v>
      </c>
      <c r="F123" s="4" t="s">
        <v>47</v>
      </c>
      <c r="G123" s="4" t="s">
        <v>136</v>
      </c>
      <c r="H123" s="4" t="s">
        <v>44</v>
      </c>
      <c r="I123" s="4">
        <f t="shared" si="0"/>
        <v>5</v>
      </c>
      <c r="J123" s="4" t="str">
        <f t="shared" si="1"/>
        <v/>
      </c>
      <c r="K123" s="4" t="str">
        <f>VLOOKUP(MONTH(B123),'03_Lookup'!A:B,2,FALSE)</f>
        <v>Jan</v>
      </c>
      <c r="L123" s="4" t="str">
        <f>IF(C123="","",VLOOKUP(MONTH(C123),'03_Lookup'!A:B,2,FALSE))</f>
        <v/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5" x14ac:dyDescent="0.25">
      <c r="A124" s="5">
        <v>121</v>
      </c>
      <c r="B124" s="6">
        <v>45313</v>
      </c>
      <c r="C124" s="4" t="s">
        <v>44</v>
      </c>
      <c r="D124" s="4" t="s">
        <v>45</v>
      </c>
      <c r="E124" s="4" t="s">
        <v>46</v>
      </c>
      <c r="F124" s="4" t="s">
        <v>47</v>
      </c>
      <c r="G124" s="4" t="s">
        <v>136</v>
      </c>
      <c r="H124" s="4" t="s">
        <v>44</v>
      </c>
      <c r="I124" s="4">
        <f t="shared" si="0"/>
        <v>4</v>
      </c>
      <c r="J124" s="4" t="str">
        <f t="shared" si="1"/>
        <v/>
      </c>
      <c r="K124" s="4" t="str">
        <f>VLOOKUP(MONTH(B124),'03_Lookup'!A:B,2,FALSE)</f>
        <v>Jan</v>
      </c>
      <c r="L124" s="4" t="str">
        <f>IF(C124="","",VLOOKUP(MONTH(C124),'03_Lookup'!A:B,2,FALSE))</f>
        <v/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5" x14ac:dyDescent="0.25">
      <c r="A125" s="5">
        <v>122</v>
      </c>
      <c r="B125" s="6">
        <v>45357</v>
      </c>
      <c r="C125" s="4" t="s">
        <v>44</v>
      </c>
      <c r="D125" s="4" t="s">
        <v>45</v>
      </c>
      <c r="E125" s="4" t="s">
        <v>48</v>
      </c>
      <c r="F125" s="4" t="s">
        <v>49</v>
      </c>
      <c r="G125" s="4" t="s">
        <v>136</v>
      </c>
      <c r="H125" s="4" t="s">
        <v>44</v>
      </c>
      <c r="I125" s="4">
        <f t="shared" si="0"/>
        <v>10</v>
      </c>
      <c r="J125" s="4" t="str">
        <f t="shared" si="1"/>
        <v/>
      </c>
      <c r="K125" s="4" t="str">
        <f>VLOOKUP(MONTH(B125),'03_Lookup'!A:B,2,FALSE)</f>
        <v>Mar</v>
      </c>
      <c r="L125" s="4" t="str">
        <f>IF(C125="","",VLOOKUP(MONTH(C125),'03_Lookup'!A:B,2,FALSE))</f>
        <v/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5" x14ac:dyDescent="0.25">
      <c r="A126" s="5">
        <v>123</v>
      </c>
      <c r="B126" s="6">
        <v>45306</v>
      </c>
      <c r="C126" s="4" t="s">
        <v>44</v>
      </c>
      <c r="D126" s="4" t="s">
        <v>45</v>
      </c>
      <c r="E126" s="4" t="s">
        <v>46</v>
      </c>
      <c r="F126" s="4" t="s">
        <v>47</v>
      </c>
      <c r="G126" s="4" t="s">
        <v>136</v>
      </c>
      <c r="H126" s="4" t="s">
        <v>44</v>
      </c>
      <c r="I126" s="4">
        <f t="shared" si="0"/>
        <v>3</v>
      </c>
      <c r="J126" s="4" t="str">
        <f t="shared" si="1"/>
        <v/>
      </c>
      <c r="K126" s="4" t="str">
        <f>VLOOKUP(MONTH(B126),'03_Lookup'!A:B,2,FALSE)</f>
        <v>Jan</v>
      </c>
      <c r="L126" s="4" t="str">
        <f>IF(C126="","",VLOOKUP(MONTH(C126),'03_Lookup'!A:B,2,FALSE))</f>
        <v/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5" x14ac:dyDescent="0.25">
      <c r="A127" s="5">
        <v>124</v>
      </c>
      <c r="B127" s="6">
        <v>45331</v>
      </c>
      <c r="C127" s="4" t="s">
        <v>44</v>
      </c>
      <c r="D127" s="4" t="s">
        <v>45</v>
      </c>
      <c r="E127" s="4" t="s">
        <v>46</v>
      </c>
      <c r="F127" s="4" t="s">
        <v>47</v>
      </c>
      <c r="G127" s="4" t="s">
        <v>135</v>
      </c>
      <c r="H127" s="4" t="s">
        <v>44</v>
      </c>
      <c r="I127" s="4">
        <f t="shared" si="0"/>
        <v>6</v>
      </c>
      <c r="J127" s="4" t="str">
        <f t="shared" si="1"/>
        <v/>
      </c>
      <c r="K127" s="4" t="str">
        <f>VLOOKUP(MONTH(B127),'03_Lookup'!A:B,2,FALSE)</f>
        <v>Feb</v>
      </c>
      <c r="L127" s="4" t="str">
        <f>IF(C127="","",VLOOKUP(MONTH(C127),'03_Lookup'!A:B,2,FALSE))</f>
        <v/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5" x14ac:dyDescent="0.25">
      <c r="A128" s="5">
        <v>125</v>
      </c>
      <c r="B128" s="6">
        <v>45316</v>
      </c>
      <c r="C128" s="4" t="s">
        <v>44</v>
      </c>
      <c r="D128" s="4" t="s">
        <v>45</v>
      </c>
      <c r="E128" s="4" t="s">
        <v>48</v>
      </c>
      <c r="F128" s="4" t="s">
        <v>49</v>
      </c>
      <c r="G128" s="4" t="s">
        <v>135</v>
      </c>
      <c r="H128" s="4" t="s">
        <v>44</v>
      </c>
      <c r="I128" s="4">
        <f t="shared" si="0"/>
        <v>4</v>
      </c>
      <c r="J128" s="4" t="str">
        <f t="shared" si="1"/>
        <v/>
      </c>
      <c r="K128" s="4" t="str">
        <f>VLOOKUP(MONTH(B128),'03_Lookup'!A:B,2,FALSE)</f>
        <v>Jan</v>
      </c>
      <c r="L128" s="4" t="str">
        <f>IF(C128="","",VLOOKUP(MONTH(C128),'03_Lookup'!A:B,2,FALSE))</f>
        <v/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5" x14ac:dyDescent="0.25">
      <c r="A129" s="5">
        <v>126</v>
      </c>
      <c r="B129" s="6">
        <v>45305</v>
      </c>
      <c r="C129" s="6">
        <v>45313</v>
      </c>
      <c r="D129" s="4" t="s">
        <v>50</v>
      </c>
      <c r="E129" s="4" t="s">
        <v>48</v>
      </c>
      <c r="F129" s="4" t="s">
        <v>47</v>
      </c>
      <c r="G129" s="4" t="s">
        <v>136</v>
      </c>
      <c r="H129" s="5">
        <v>192</v>
      </c>
      <c r="I129" s="4">
        <f t="shared" si="0"/>
        <v>2</v>
      </c>
      <c r="J129" s="4">
        <f t="shared" si="1"/>
        <v>4</v>
      </c>
      <c r="K129" s="4" t="str">
        <f>VLOOKUP(MONTH(B129),'03_Lookup'!A:B,2,FALSE)</f>
        <v>Jan</v>
      </c>
      <c r="L129" s="4" t="str">
        <f>IF(C129="","",VLOOKUP(MONTH(C129),'03_Lookup'!A:B,2,FALSE))</f>
        <v>Jan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5" x14ac:dyDescent="0.25">
      <c r="A130" s="5">
        <v>127</v>
      </c>
      <c r="B130" s="6">
        <v>45319</v>
      </c>
      <c r="C130" s="4" t="s">
        <v>44</v>
      </c>
      <c r="D130" s="4" t="s">
        <v>45</v>
      </c>
      <c r="E130" s="4" t="s">
        <v>46</v>
      </c>
      <c r="F130" s="4" t="s">
        <v>47</v>
      </c>
      <c r="G130" s="4" t="s">
        <v>135</v>
      </c>
      <c r="H130" s="4" t="s">
        <v>44</v>
      </c>
      <c r="I130" s="4">
        <f t="shared" si="0"/>
        <v>4</v>
      </c>
      <c r="J130" s="4" t="str">
        <f t="shared" si="1"/>
        <v/>
      </c>
      <c r="K130" s="4" t="str">
        <f>VLOOKUP(MONTH(B130),'03_Lookup'!A:B,2,FALSE)</f>
        <v>Jan</v>
      </c>
      <c r="L130" s="4" t="str">
        <f>IF(C130="","",VLOOKUP(MONTH(C130),'03_Lookup'!A:B,2,FALSE))</f>
        <v/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5" x14ac:dyDescent="0.25">
      <c r="A131" s="5">
        <v>128</v>
      </c>
      <c r="B131" s="6">
        <v>45330</v>
      </c>
      <c r="C131" s="4" t="s">
        <v>44</v>
      </c>
      <c r="D131" s="4" t="s">
        <v>45</v>
      </c>
      <c r="E131" s="4" t="s">
        <v>46</v>
      </c>
      <c r="F131" s="4" t="s">
        <v>47</v>
      </c>
      <c r="G131" s="4" t="s">
        <v>135</v>
      </c>
      <c r="H131" s="4" t="s">
        <v>44</v>
      </c>
      <c r="I131" s="4">
        <f t="shared" si="0"/>
        <v>6</v>
      </c>
      <c r="J131" s="4" t="str">
        <f t="shared" si="1"/>
        <v/>
      </c>
      <c r="K131" s="4" t="str">
        <f>VLOOKUP(MONTH(B131),'03_Lookup'!A:B,2,FALSE)</f>
        <v>Feb</v>
      </c>
      <c r="L131" s="4" t="str">
        <f>IF(C131="","",VLOOKUP(MONTH(C131),'03_Lookup'!A:B,2,FALSE))</f>
        <v/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5" x14ac:dyDescent="0.25">
      <c r="A132" s="5">
        <v>129</v>
      </c>
      <c r="B132" s="6">
        <v>45362</v>
      </c>
      <c r="C132" s="4" t="s">
        <v>44</v>
      </c>
      <c r="D132" s="4" t="s">
        <v>45</v>
      </c>
      <c r="E132" s="4" t="s">
        <v>46</v>
      </c>
      <c r="F132" s="4" t="s">
        <v>47</v>
      </c>
      <c r="G132" s="4" t="s">
        <v>136</v>
      </c>
      <c r="H132" s="4" t="s">
        <v>44</v>
      </c>
      <c r="I132" s="4">
        <f t="shared" si="0"/>
        <v>11</v>
      </c>
      <c r="J132" s="4" t="str">
        <f t="shared" si="1"/>
        <v/>
      </c>
      <c r="K132" s="4" t="str">
        <f>VLOOKUP(MONTH(B132),'03_Lookup'!A:B,2,FALSE)</f>
        <v>Mar</v>
      </c>
      <c r="L132" s="4" t="str">
        <f>IF(C132="","",VLOOKUP(MONTH(C132),'03_Lookup'!A:B,2,FALSE))</f>
        <v/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5" x14ac:dyDescent="0.25">
      <c r="A133" s="5">
        <v>130</v>
      </c>
      <c r="B133" s="6">
        <v>45310</v>
      </c>
      <c r="C133" s="6">
        <v>45315</v>
      </c>
      <c r="D133" s="4" t="s">
        <v>50</v>
      </c>
      <c r="E133" s="4" t="s">
        <v>48</v>
      </c>
      <c r="F133" s="4" t="s">
        <v>47</v>
      </c>
      <c r="G133" s="4" t="s">
        <v>135</v>
      </c>
      <c r="H133" s="5">
        <v>120</v>
      </c>
      <c r="I133" s="4">
        <f t="shared" si="0"/>
        <v>3</v>
      </c>
      <c r="J133" s="4">
        <f t="shared" si="1"/>
        <v>4</v>
      </c>
      <c r="K133" s="4" t="str">
        <f>VLOOKUP(MONTH(B133),'03_Lookup'!A:B,2,FALSE)</f>
        <v>Jan</v>
      </c>
      <c r="L133" s="4" t="str">
        <f>IF(C133="","",VLOOKUP(MONTH(C133),'03_Lookup'!A:B,2,FALSE))</f>
        <v>Jan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5" x14ac:dyDescent="0.25">
      <c r="A134" s="5">
        <v>131</v>
      </c>
      <c r="B134" s="6">
        <v>45328</v>
      </c>
      <c r="C134" s="6">
        <v>45335</v>
      </c>
      <c r="D134" s="4" t="s">
        <v>50</v>
      </c>
      <c r="E134" s="4" t="s">
        <v>46</v>
      </c>
      <c r="F134" s="4" t="s">
        <v>47</v>
      </c>
      <c r="G134" s="4" t="s">
        <v>136</v>
      </c>
      <c r="H134" s="5">
        <v>168</v>
      </c>
      <c r="I134" s="4">
        <f t="shared" si="0"/>
        <v>6</v>
      </c>
      <c r="J134" s="4">
        <f t="shared" si="1"/>
        <v>7</v>
      </c>
      <c r="K134" s="4" t="str">
        <f>VLOOKUP(MONTH(B134),'03_Lookup'!A:B,2,FALSE)</f>
        <v>Feb</v>
      </c>
      <c r="L134" s="4" t="str">
        <f>IF(C134="","",VLOOKUP(MONTH(C134),'03_Lookup'!A:B,2,FALSE))</f>
        <v>Feb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5" x14ac:dyDescent="0.25">
      <c r="A135" s="5">
        <v>132</v>
      </c>
      <c r="B135" s="6">
        <v>45323</v>
      </c>
      <c r="C135" s="4" t="s">
        <v>44</v>
      </c>
      <c r="D135" s="4" t="s">
        <v>45</v>
      </c>
      <c r="E135" s="4" t="s">
        <v>46</v>
      </c>
      <c r="F135" s="4" t="s">
        <v>51</v>
      </c>
      <c r="G135" s="4" t="s">
        <v>135</v>
      </c>
      <c r="H135" s="4" t="s">
        <v>44</v>
      </c>
      <c r="I135" s="4">
        <f t="shared" si="0"/>
        <v>5</v>
      </c>
      <c r="J135" s="4" t="str">
        <f t="shared" si="1"/>
        <v/>
      </c>
      <c r="K135" s="4" t="str">
        <f>VLOOKUP(MONTH(B135),'03_Lookup'!A:B,2,FALSE)</f>
        <v>Feb</v>
      </c>
      <c r="L135" s="4" t="str">
        <f>IF(C135="","",VLOOKUP(MONTH(C135),'03_Lookup'!A:B,2,FALSE))</f>
        <v/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5" x14ac:dyDescent="0.25">
      <c r="A136" s="5">
        <v>133</v>
      </c>
      <c r="B136" s="6">
        <v>45327</v>
      </c>
      <c r="C136" s="6">
        <v>45331</v>
      </c>
      <c r="D136" s="4" t="s">
        <v>50</v>
      </c>
      <c r="E136" s="4" t="s">
        <v>46</v>
      </c>
      <c r="F136" s="4" t="s">
        <v>49</v>
      </c>
      <c r="G136" s="4" t="s">
        <v>135</v>
      </c>
      <c r="H136" s="5">
        <v>96</v>
      </c>
      <c r="I136" s="4">
        <f t="shared" si="0"/>
        <v>6</v>
      </c>
      <c r="J136" s="4">
        <f t="shared" si="1"/>
        <v>6</v>
      </c>
      <c r="K136" s="4" t="str">
        <f>VLOOKUP(MONTH(B136),'03_Lookup'!A:B,2,FALSE)</f>
        <v>Feb</v>
      </c>
      <c r="L136" s="4" t="str">
        <f>IF(C136="","",VLOOKUP(MONTH(C136),'03_Lookup'!A:B,2,FALSE))</f>
        <v>Feb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5" x14ac:dyDescent="0.25">
      <c r="A137" s="5">
        <v>134</v>
      </c>
      <c r="B137" s="6">
        <v>45340</v>
      </c>
      <c r="C137" s="6">
        <v>45348</v>
      </c>
      <c r="D137" s="4" t="s">
        <v>50</v>
      </c>
      <c r="E137" s="4" t="s">
        <v>48</v>
      </c>
      <c r="F137" s="4" t="s">
        <v>51</v>
      </c>
      <c r="G137" s="4" t="s">
        <v>135</v>
      </c>
      <c r="H137" s="5">
        <v>192</v>
      </c>
      <c r="I137" s="4">
        <f t="shared" si="0"/>
        <v>7</v>
      </c>
      <c r="J137" s="4">
        <f t="shared" si="1"/>
        <v>9</v>
      </c>
      <c r="K137" s="4" t="str">
        <f>VLOOKUP(MONTH(B137),'03_Lookup'!A:B,2,FALSE)</f>
        <v>Feb</v>
      </c>
      <c r="L137" s="4" t="str">
        <f>IF(C137="","",VLOOKUP(MONTH(C137),'03_Lookup'!A:B,2,FALSE))</f>
        <v>Feb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5" x14ac:dyDescent="0.25">
      <c r="A138" s="5">
        <v>135</v>
      </c>
      <c r="B138" s="6">
        <v>45295</v>
      </c>
      <c r="C138" s="6">
        <v>45303</v>
      </c>
      <c r="D138" s="4" t="s">
        <v>50</v>
      </c>
      <c r="E138" s="4" t="s">
        <v>46</v>
      </c>
      <c r="F138" s="4" t="s">
        <v>47</v>
      </c>
      <c r="G138" s="4" t="s">
        <v>136</v>
      </c>
      <c r="H138" s="5">
        <v>192</v>
      </c>
      <c r="I138" s="4">
        <f t="shared" si="0"/>
        <v>1</v>
      </c>
      <c r="J138" s="4">
        <f t="shared" si="1"/>
        <v>2</v>
      </c>
      <c r="K138" s="4" t="str">
        <f>VLOOKUP(MONTH(B138),'03_Lookup'!A:B,2,FALSE)</f>
        <v>Jan</v>
      </c>
      <c r="L138" s="4" t="str">
        <f>IF(C138="","",VLOOKUP(MONTH(C138),'03_Lookup'!A:B,2,FALSE))</f>
        <v>Jan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5" x14ac:dyDescent="0.25">
      <c r="A139" s="5">
        <v>136</v>
      </c>
      <c r="B139" s="6">
        <v>45373</v>
      </c>
      <c r="C139" s="6">
        <v>45375</v>
      </c>
      <c r="D139" s="4" t="s">
        <v>50</v>
      </c>
      <c r="E139" s="4" t="s">
        <v>48</v>
      </c>
      <c r="F139" s="4" t="s">
        <v>51</v>
      </c>
      <c r="G139" s="4" t="s">
        <v>135</v>
      </c>
      <c r="H139" s="5">
        <v>48</v>
      </c>
      <c r="I139" s="4">
        <f t="shared" si="0"/>
        <v>12</v>
      </c>
      <c r="J139" s="4">
        <f t="shared" si="1"/>
        <v>12</v>
      </c>
      <c r="K139" s="4" t="str">
        <f>VLOOKUP(MONTH(B139),'03_Lookup'!A:B,2,FALSE)</f>
        <v>Mar</v>
      </c>
      <c r="L139" s="4" t="str">
        <f>IF(C139="","",VLOOKUP(MONTH(C139),'03_Lookup'!A:B,2,FALSE))</f>
        <v>Mar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5" x14ac:dyDescent="0.25">
      <c r="A140" s="5">
        <v>137</v>
      </c>
      <c r="B140" s="6">
        <v>45292</v>
      </c>
      <c r="C140" s="6">
        <v>45297</v>
      </c>
      <c r="D140" s="4" t="s">
        <v>50</v>
      </c>
      <c r="E140" s="4" t="s">
        <v>46</v>
      </c>
      <c r="F140" s="4" t="s">
        <v>47</v>
      </c>
      <c r="G140" s="4" t="s">
        <v>136</v>
      </c>
      <c r="H140" s="5">
        <v>120</v>
      </c>
      <c r="I140" s="4">
        <f t="shared" si="0"/>
        <v>1</v>
      </c>
      <c r="J140" s="4">
        <f t="shared" si="1"/>
        <v>1</v>
      </c>
      <c r="K140" s="4" t="str">
        <f>VLOOKUP(MONTH(B140),'03_Lookup'!A:B,2,FALSE)</f>
        <v>Jan</v>
      </c>
      <c r="L140" s="4" t="str">
        <f>IF(C140="","",VLOOKUP(MONTH(C140),'03_Lookup'!A:B,2,FALSE))</f>
        <v>Jan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5" x14ac:dyDescent="0.25">
      <c r="A141" s="5">
        <v>138</v>
      </c>
      <c r="B141" s="6">
        <v>45345</v>
      </c>
      <c r="C141" s="4" t="s">
        <v>44</v>
      </c>
      <c r="D141" s="4" t="s">
        <v>45</v>
      </c>
      <c r="E141" s="4" t="s">
        <v>46</v>
      </c>
      <c r="F141" s="4" t="s">
        <v>47</v>
      </c>
      <c r="G141" s="4" t="s">
        <v>136</v>
      </c>
      <c r="H141" s="4" t="s">
        <v>44</v>
      </c>
      <c r="I141" s="4">
        <f t="shared" si="0"/>
        <v>8</v>
      </c>
      <c r="J141" s="4" t="str">
        <f t="shared" si="1"/>
        <v/>
      </c>
      <c r="K141" s="4" t="str">
        <f>VLOOKUP(MONTH(B141),'03_Lookup'!A:B,2,FALSE)</f>
        <v>Feb</v>
      </c>
      <c r="L141" s="4" t="str">
        <f>IF(C141="","",VLOOKUP(MONTH(C141),'03_Lookup'!A:B,2,FALSE))</f>
        <v/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5" x14ac:dyDescent="0.25">
      <c r="A142" s="5">
        <v>139</v>
      </c>
      <c r="B142" s="6">
        <v>45305</v>
      </c>
      <c r="C142" s="6">
        <v>45306</v>
      </c>
      <c r="D142" s="4" t="s">
        <v>50</v>
      </c>
      <c r="E142" s="4" t="s">
        <v>46</v>
      </c>
      <c r="F142" s="4" t="s">
        <v>47</v>
      </c>
      <c r="G142" s="4" t="s">
        <v>136</v>
      </c>
      <c r="H142" s="5">
        <v>24</v>
      </c>
      <c r="I142" s="4">
        <f t="shared" si="0"/>
        <v>2</v>
      </c>
      <c r="J142" s="4">
        <f t="shared" si="1"/>
        <v>3</v>
      </c>
      <c r="K142" s="4" t="str">
        <f>VLOOKUP(MONTH(B142),'03_Lookup'!A:B,2,FALSE)</f>
        <v>Jan</v>
      </c>
      <c r="L142" s="4" t="str">
        <f>IF(C142="","",VLOOKUP(MONTH(C142),'03_Lookup'!A:B,2,FALSE))</f>
        <v>Jan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5" x14ac:dyDescent="0.25">
      <c r="A143" s="5">
        <v>140</v>
      </c>
      <c r="B143" s="6">
        <v>45298</v>
      </c>
      <c r="C143" s="4" t="s">
        <v>44</v>
      </c>
      <c r="D143" s="4" t="s">
        <v>45</v>
      </c>
      <c r="E143" s="4" t="s">
        <v>46</v>
      </c>
      <c r="F143" s="4" t="s">
        <v>51</v>
      </c>
      <c r="G143" s="4" t="s">
        <v>136</v>
      </c>
      <c r="H143" s="4" t="s">
        <v>44</v>
      </c>
      <c r="I143" s="4">
        <f t="shared" si="0"/>
        <v>1</v>
      </c>
      <c r="J143" s="4" t="str">
        <f t="shared" si="1"/>
        <v/>
      </c>
      <c r="K143" s="4" t="str">
        <f>VLOOKUP(MONTH(B143),'03_Lookup'!A:B,2,FALSE)</f>
        <v>Jan</v>
      </c>
      <c r="L143" s="4" t="str">
        <f>IF(C143="","",VLOOKUP(MONTH(C143),'03_Lookup'!A:B,2,FALSE))</f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5" x14ac:dyDescent="0.25">
      <c r="A144" s="5">
        <v>141</v>
      </c>
      <c r="B144" s="6">
        <v>45371</v>
      </c>
      <c r="C144" s="4" t="s">
        <v>44</v>
      </c>
      <c r="D144" s="4" t="s">
        <v>45</v>
      </c>
      <c r="E144" s="4" t="s">
        <v>48</v>
      </c>
      <c r="F144" s="4" t="s">
        <v>47</v>
      </c>
      <c r="G144" s="4" t="s">
        <v>136</v>
      </c>
      <c r="H144" s="4" t="s">
        <v>44</v>
      </c>
      <c r="I144" s="4">
        <f t="shared" si="0"/>
        <v>12</v>
      </c>
      <c r="J144" s="4" t="str">
        <f t="shared" si="1"/>
        <v/>
      </c>
      <c r="K144" s="4" t="str">
        <f>VLOOKUP(MONTH(B144),'03_Lookup'!A:B,2,FALSE)</f>
        <v>Mar</v>
      </c>
      <c r="L144" s="4" t="str">
        <f>IF(C144="","",VLOOKUP(MONTH(C144),'03_Lookup'!A:B,2,FALSE))</f>
        <v/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5" x14ac:dyDescent="0.25">
      <c r="A145" s="5">
        <v>142</v>
      </c>
      <c r="B145" s="6">
        <v>45374</v>
      </c>
      <c r="C145" s="4" t="s">
        <v>44</v>
      </c>
      <c r="D145" s="4" t="s">
        <v>45</v>
      </c>
      <c r="E145" s="4" t="s">
        <v>46</v>
      </c>
      <c r="F145" s="4" t="s">
        <v>49</v>
      </c>
      <c r="G145" s="4" t="s">
        <v>135</v>
      </c>
      <c r="H145" s="4" t="s">
        <v>44</v>
      </c>
      <c r="I145" s="4">
        <f t="shared" si="0"/>
        <v>12</v>
      </c>
      <c r="J145" s="4" t="str">
        <f t="shared" si="1"/>
        <v/>
      </c>
      <c r="K145" s="4" t="str">
        <f>VLOOKUP(MONTH(B145),'03_Lookup'!A:B,2,FALSE)</f>
        <v>Mar</v>
      </c>
      <c r="L145" s="4" t="str">
        <f>IF(C145="","",VLOOKUP(MONTH(C145),'03_Lookup'!A:B,2,FALSE))</f>
        <v/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5" x14ac:dyDescent="0.25">
      <c r="A146" s="5">
        <v>143</v>
      </c>
      <c r="B146" s="6">
        <v>45303</v>
      </c>
      <c r="C146" s="6">
        <v>45313</v>
      </c>
      <c r="D146" s="4" t="s">
        <v>50</v>
      </c>
      <c r="E146" s="4" t="s">
        <v>46</v>
      </c>
      <c r="F146" s="4" t="s">
        <v>47</v>
      </c>
      <c r="G146" s="4" t="s">
        <v>136</v>
      </c>
      <c r="H146" s="5">
        <v>240</v>
      </c>
      <c r="I146" s="4">
        <f t="shared" si="0"/>
        <v>2</v>
      </c>
      <c r="J146" s="4">
        <f t="shared" si="1"/>
        <v>4</v>
      </c>
      <c r="K146" s="4" t="str">
        <f>VLOOKUP(MONTH(B146),'03_Lookup'!A:B,2,FALSE)</f>
        <v>Jan</v>
      </c>
      <c r="L146" s="4" t="str">
        <f>IF(C146="","",VLOOKUP(MONTH(C146),'03_Lookup'!A:B,2,FALSE))</f>
        <v>Jan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5" x14ac:dyDescent="0.25">
      <c r="A147" s="5">
        <v>144</v>
      </c>
      <c r="B147" s="6">
        <v>45370</v>
      </c>
      <c r="C147" s="4" t="s">
        <v>44</v>
      </c>
      <c r="D147" s="4" t="s">
        <v>45</v>
      </c>
      <c r="E147" s="4" t="s">
        <v>46</v>
      </c>
      <c r="F147" s="4" t="s">
        <v>47</v>
      </c>
      <c r="G147" s="4" t="s">
        <v>136</v>
      </c>
      <c r="H147" s="4" t="s">
        <v>44</v>
      </c>
      <c r="I147" s="4">
        <f t="shared" si="0"/>
        <v>12</v>
      </c>
      <c r="J147" s="4" t="str">
        <f t="shared" si="1"/>
        <v/>
      </c>
      <c r="K147" s="4" t="str">
        <f>VLOOKUP(MONTH(B147),'03_Lookup'!A:B,2,FALSE)</f>
        <v>Mar</v>
      </c>
      <c r="L147" s="4" t="str">
        <f>IF(C147="","",VLOOKUP(MONTH(C147),'03_Lookup'!A:B,2,FALSE))</f>
        <v/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5" x14ac:dyDescent="0.25">
      <c r="A148" s="5">
        <v>145</v>
      </c>
      <c r="B148" s="6">
        <v>45326</v>
      </c>
      <c r="C148" s="6">
        <v>45329</v>
      </c>
      <c r="D148" s="4" t="s">
        <v>50</v>
      </c>
      <c r="E148" s="4" t="s">
        <v>48</v>
      </c>
      <c r="F148" s="4" t="s">
        <v>49</v>
      </c>
      <c r="G148" s="4" t="s">
        <v>136</v>
      </c>
      <c r="H148" s="5">
        <v>72</v>
      </c>
      <c r="I148" s="4">
        <f t="shared" si="0"/>
        <v>5</v>
      </c>
      <c r="J148" s="4">
        <f t="shared" si="1"/>
        <v>6</v>
      </c>
      <c r="K148" s="4" t="str">
        <f>VLOOKUP(MONTH(B148),'03_Lookup'!A:B,2,FALSE)</f>
        <v>Feb</v>
      </c>
      <c r="L148" s="4" t="str">
        <f>IF(C148="","",VLOOKUP(MONTH(C148),'03_Lookup'!A:B,2,FALSE))</f>
        <v>Feb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5" x14ac:dyDescent="0.25">
      <c r="A149" s="5">
        <v>146</v>
      </c>
      <c r="B149" s="6">
        <v>45350</v>
      </c>
      <c r="C149" s="4" t="s">
        <v>44</v>
      </c>
      <c r="D149" s="4" t="s">
        <v>45</v>
      </c>
      <c r="E149" s="4" t="s">
        <v>48</v>
      </c>
      <c r="F149" s="4" t="s">
        <v>47</v>
      </c>
      <c r="G149" s="4" t="s">
        <v>136</v>
      </c>
      <c r="H149" s="4" t="s">
        <v>44</v>
      </c>
      <c r="I149" s="4">
        <f t="shared" si="0"/>
        <v>9</v>
      </c>
      <c r="J149" s="4" t="str">
        <f t="shared" si="1"/>
        <v/>
      </c>
      <c r="K149" s="4" t="str">
        <f>VLOOKUP(MONTH(B149),'03_Lookup'!A:B,2,FALSE)</f>
        <v>Feb</v>
      </c>
      <c r="L149" s="4" t="str">
        <f>IF(C149="","",VLOOKUP(MONTH(C149),'03_Lookup'!A:B,2,FALSE))</f>
        <v/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5" x14ac:dyDescent="0.25">
      <c r="A150" s="5">
        <v>147</v>
      </c>
      <c r="B150" s="6">
        <v>45316</v>
      </c>
      <c r="C150" s="6">
        <v>45324</v>
      </c>
      <c r="D150" s="4" t="s">
        <v>50</v>
      </c>
      <c r="E150" s="4" t="s">
        <v>46</v>
      </c>
      <c r="F150" s="4" t="s">
        <v>47</v>
      </c>
      <c r="G150" s="4" t="s">
        <v>135</v>
      </c>
      <c r="H150" s="5">
        <v>192</v>
      </c>
      <c r="I150" s="4">
        <f t="shared" si="0"/>
        <v>4</v>
      </c>
      <c r="J150" s="4">
        <f t="shared" si="1"/>
        <v>5</v>
      </c>
      <c r="K150" s="4" t="str">
        <f>VLOOKUP(MONTH(B150),'03_Lookup'!A:B,2,FALSE)</f>
        <v>Jan</v>
      </c>
      <c r="L150" s="4" t="str">
        <f>IF(C150="","",VLOOKUP(MONTH(C150),'03_Lookup'!A:B,2,FALSE))</f>
        <v>Feb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5" x14ac:dyDescent="0.25">
      <c r="A151" s="5">
        <v>148</v>
      </c>
      <c r="B151" s="6">
        <v>45349</v>
      </c>
      <c r="C151" s="4" t="s">
        <v>44</v>
      </c>
      <c r="D151" s="4" t="s">
        <v>45</v>
      </c>
      <c r="E151" s="4" t="s">
        <v>46</v>
      </c>
      <c r="F151" s="4" t="s">
        <v>47</v>
      </c>
      <c r="G151" s="4" t="s">
        <v>136</v>
      </c>
      <c r="H151" s="4" t="s">
        <v>44</v>
      </c>
      <c r="I151" s="4">
        <f t="shared" si="0"/>
        <v>9</v>
      </c>
      <c r="J151" s="4" t="str">
        <f t="shared" si="1"/>
        <v/>
      </c>
      <c r="K151" s="4" t="str">
        <f>VLOOKUP(MONTH(B151),'03_Lookup'!A:B,2,FALSE)</f>
        <v>Feb</v>
      </c>
      <c r="L151" s="4" t="str">
        <f>IF(C151="","",VLOOKUP(MONTH(C151),'03_Lookup'!A:B,2,FALSE))</f>
        <v/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5" x14ac:dyDescent="0.25">
      <c r="A152" s="5">
        <v>149</v>
      </c>
      <c r="B152" s="6">
        <v>45347</v>
      </c>
      <c r="C152" s="6">
        <v>45357</v>
      </c>
      <c r="D152" s="4" t="s">
        <v>50</v>
      </c>
      <c r="E152" s="4" t="s">
        <v>46</v>
      </c>
      <c r="F152" s="4" t="s">
        <v>51</v>
      </c>
      <c r="G152" s="4" t="s">
        <v>135</v>
      </c>
      <c r="H152" s="5">
        <v>240</v>
      </c>
      <c r="I152" s="4">
        <f t="shared" si="0"/>
        <v>8</v>
      </c>
      <c r="J152" s="4">
        <f t="shared" si="1"/>
        <v>10</v>
      </c>
      <c r="K152" s="4" t="str">
        <f>VLOOKUP(MONTH(B152),'03_Lookup'!A:B,2,FALSE)</f>
        <v>Feb</v>
      </c>
      <c r="L152" s="4" t="str">
        <f>IF(C152="","",VLOOKUP(MONTH(C152),'03_Lookup'!A:B,2,FALSE))</f>
        <v>Mar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5" x14ac:dyDescent="0.25">
      <c r="A153" s="5">
        <v>150</v>
      </c>
      <c r="B153" s="6">
        <v>45312</v>
      </c>
      <c r="C153" s="4" t="s">
        <v>44</v>
      </c>
      <c r="D153" s="4" t="s">
        <v>45</v>
      </c>
      <c r="E153" s="4" t="s">
        <v>46</v>
      </c>
      <c r="F153" s="4" t="s">
        <v>51</v>
      </c>
      <c r="G153" s="4" t="s">
        <v>136</v>
      </c>
      <c r="H153" s="4" t="s">
        <v>44</v>
      </c>
      <c r="I153" s="4">
        <f t="shared" si="0"/>
        <v>3</v>
      </c>
      <c r="J153" s="4" t="str">
        <f t="shared" si="1"/>
        <v/>
      </c>
      <c r="K153" s="4" t="str">
        <f>VLOOKUP(MONTH(B153),'03_Lookup'!A:B,2,FALSE)</f>
        <v>Jan</v>
      </c>
      <c r="L153" s="4" t="str">
        <f>IF(C153="","",VLOOKUP(MONTH(C153),'03_Lookup'!A:B,2,FALSE))</f>
        <v/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5" x14ac:dyDescent="0.25">
      <c r="A154" s="5">
        <v>151</v>
      </c>
      <c r="B154" s="6">
        <v>45377</v>
      </c>
      <c r="C154" s="4" t="s">
        <v>44</v>
      </c>
      <c r="D154" s="4" t="s">
        <v>45</v>
      </c>
      <c r="E154" s="4" t="s">
        <v>46</v>
      </c>
      <c r="F154" s="4" t="s">
        <v>47</v>
      </c>
      <c r="G154" s="4" t="s">
        <v>135</v>
      </c>
      <c r="H154" s="4" t="s">
        <v>44</v>
      </c>
      <c r="I154" s="4">
        <f t="shared" si="0"/>
        <v>13</v>
      </c>
      <c r="J154" s="4" t="str">
        <f t="shared" si="1"/>
        <v/>
      </c>
      <c r="K154" s="4" t="str">
        <f>VLOOKUP(MONTH(B154),'03_Lookup'!A:B,2,FALSE)</f>
        <v>Mar</v>
      </c>
      <c r="L154" s="4" t="str">
        <f>IF(C154="","",VLOOKUP(MONTH(C154),'03_Lookup'!A:B,2,FALSE))</f>
        <v/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5" x14ac:dyDescent="0.25">
      <c r="A155" s="5">
        <v>152</v>
      </c>
      <c r="B155" s="6">
        <v>45341</v>
      </c>
      <c r="C155" s="4" t="s">
        <v>44</v>
      </c>
      <c r="D155" s="4" t="s">
        <v>45</v>
      </c>
      <c r="E155" s="4" t="s">
        <v>48</v>
      </c>
      <c r="F155" s="4" t="s">
        <v>49</v>
      </c>
      <c r="G155" s="4" t="s">
        <v>135</v>
      </c>
      <c r="H155" s="4" t="s">
        <v>44</v>
      </c>
      <c r="I155" s="4">
        <f t="shared" si="0"/>
        <v>8</v>
      </c>
      <c r="J155" s="4" t="str">
        <f t="shared" si="1"/>
        <v/>
      </c>
      <c r="K155" s="4" t="str">
        <f>VLOOKUP(MONTH(B155),'03_Lookup'!A:B,2,FALSE)</f>
        <v>Feb</v>
      </c>
      <c r="L155" s="4" t="str">
        <f>IF(C155="","",VLOOKUP(MONTH(C155),'03_Lookup'!A:B,2,FALSE))</f>
        <v/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5" x14ac:dyDescent="0.25">
      <c r="A156" s="5">
        <v>153</v>
      </c>
      <c r="B156" s="6">
        <v>45377</v>
      </c>
      <c r="C156" s="4" t="s">
        <v>44</v>
      </c>
      <c r="D156" s="4" t="s">
        <v>45</v>
      </c>
      <c r="E156" s="4" t="s">
        <v>48</v>
      </c>
      <c r="F156" s="4" t="s">
        <v>49</v>
      </c>
      <c r="G156" s="4" t="s">
        <v>135</v>
      </c>
      <c r="H156" s="4" t="s">
        <v>44</v>
      </c>
      <c r="I156" s="4">
        <f t="shared" si="0"/>
        <v>13</v>
      </c>
      <c r="J156" s="4" t="str">
        <f t="shared" si="1"/>
        <v/>
      </c>
      <c r="K156" s="4" t="str">
        <f>VLOOKUP(MONTH(B156),'03_Lookup'!A:B,2,FALSE)</f>
        <v>Mar</v>
      </c>
      <c r="L156" s="4" t="str">
        <f>IF(C156="","",VLOOKUP(MONTH(C156),'03_Lookup'!A:B,2,FALSE))</f>
        <v/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5" x14ac:dyDescent="0.25">
      <c r="A157" s="5">
        <v>154</v>
      </c>
      <c r="B157" s="6">
        <v>45370</v>
      </c>
      <c r="C157" s="6">
        <v>45371</v>
      </c>
      <c r="D157" s="4" t="s">
        <v>50</v>
      </c>
      <c r="E157" s="4" t="s">
        <v>48</v>
      </c>
      <c r="F157" s="4" t="s">
        <v>51</v>
      </c>
      <c r="G157" s="4" t="s">
        <v>136</v>
      </c>
      <c r="H157" s="5">
        <v>24</v>
      </c>
      <c r="I157" s="4">
        <f t="shared" si="0"/>
        <v>12</v>
      </c>
      <c r="J157" s="4">
        <f t="shared" si="1"/>
        <v>12</v>
      </c>
      <c r="K157" s="4" t="str">
        <f>VLOOKUP(MONTH(B157),'03_Lookup'!A:B,2,FALSE)</f>
        <v>Mar</v>
      </c>
      <c r="L157" s="4" t="str">
        <f>IF(C157="","",VLOOKUP(MONTH(C157),'03_Lookup'!A:B,2,FALSE))</f>
        <v>Mar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5" x14ac:dyDescent="0.25">
      <c r="A158" s="5">
        <v>155</v>
      </c>
      <c r="B158" s="6">
        <v>45325</v>
      </c>
      <c r="C158" s="4" t="s">
        <v>44</v>
      </c>
      <c r="D158" s="4" t="s">
        <v>45</v>
      </c>
      <c r="E158" s="4" t="s">
        <v>48</v>
      </c>
      <c r="F158" s="4" t="s">
        <v>49</v>
      </c>
      <c r="G158" s="4" t="s">
        <v>136</v>
      </c>
      <c r="H158" s="4" t="s">
        <v>44</v>
      </c>
      <c r="I158" s="4">
        <f t="shared" si="0"/>
        <v>5</v>
      </c>
      <c r="J158" s="4" t="str">
        <f t="shared" si="1"/>
        <v/>
      </c>
      <c r="K158" s="4" t="str">
        <f>VLOOKUP(MONTH(B158),'03_Lookup'!A:B,2,FALSE)</f>
        <v>Feb</v>
      </c>
      <c r="L158" s="4" t="str">
        <f>IF(C158="","",VLOOKUP(MONTH(C158),'03_Lookup'!A:B,2,FALSE))</f>
        <v/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5" x14ac:dyDescent="0.25">
      <c r="A159" s="5">
        <v>156</v>
      </c>
      <c r="B159" s="6">
        <v>45332</v>
      </c>
      <c r="C159" s="4" t="s">
        <v>44</v>
      </c>
      <c r="D159" s="4" t="s">
        <v>45</v>
      </c>
      <c r="E159" s="4" t="s">
        <v>46</v>
      </c>
      <c r="F159" s="4" t="s">
        <v>47</v>
      </c>
      <c r="G159" s="4" t="s">
        <v>135</v>
      </c>
      <c r="H159" s="4" t="s">
        <v>44</v>
      </c>
      <c r="I159" s="4">
        <f t="shared" si="0"/>
        <v>6</v>
      </c>
      <c r="J159" s="4" t="str">
        <f t="shared" si="1"/>
        <v/>
      </c>
      <c r="K159" s="4" t="str">
        <f>VLOOKUP(MONTH(B159),'03_Lookup'!A:B,2,FALSE)</f>
        <v>Feb</v>
      </c>
      <c r="L159" s="4" t="str">
        <f>IF(C159="","",VLOOKUP(MONTH(C159),'03_Lookup'!A:B,2,FALSE))</f>
        <v/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5" x14ac:dyDescent="0.25">
      <c r="A160" s="5">
        <v>157</v>
      </c>
      <c r="B160" s="6">
        <v>45335</v>
      </c>
      <c r="C160" s="6">
        <v>45343</v>
      </c>
      <c r="D160" s="4" t="s">
        <v>50</v>
      </c>
      <c r="E160" s="4" t="s">
        <v>46</v>
      </c>
      <c r="F160" s="4" t="s">
        <v>47</v>
      </c>
      <c r="G160" s="4" t="s">
        <v>135</v>
      </c>
      <c r="H160" s="5">
        <v>192</v>
      </c>
      <c r="I160" s="4">
        <f t="shared" si="0"/>
        <v>7</v>
      </c>
      <c r="J160" s="4">
        <f t="shared" si="1"/>
        <v>8</v>
      </c>
      <c r="K160" s="4" t="str">
        <f>VLOOKUP(MONTH(B160),'03_Lookup'!A:B,2,FALSE)</f>
        <v>Feb</v>
      </c>
      <c r="L160" s="4" t="str">
        <f>IF(C160="","",VLOOKUP(MONTH(C160),'03_Lookup'!A:B,2,FALSE))</f>
        <v>Feb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5" x14ac:dyDescent="0.25">
      <c r="A161" s="5">
        <v>158</v>
      </c>
      <c r="B161" s="6">
        <v>45370</v>
      </c>
      <c r="C161" s="4" t="s">
        <v>44</v>
      </c>
      <c r="D161" s="4" t="s">
        <v>45</v>
      </c>
      <c r="E161" s="4" t="s">
        <v>46</v>
      </c>
      <c r="F161" s="4" t="s">
        <v>49</v>
      </c>
      <c r="G161" s="4" t="s">
        <v>135</v>
      </c>
      <c r="H161" s="4" t="s">
        <v>44</v>
      </c>
      <c r="I161" s="4">
        <f t="shared" si="0"/>
        <v>12</v>
      </c>
      <c r="J161" s="4" t="str">
        <f t="shared" si="1"/>
        <v/>
      </c>
      <c r="K161" s="4" t="str">
        <f>VLOOKUP(MONTH(B161),'03_Lookup'!A:B,2,FALSE)</f>
        <v>Mar</v>
      </c>
      <c r="L161" s="4" t="str">
        <f>IF(C161="","",VLOOKUP(MONTH(C161),'03_Lookup'!A:B,2,FALSE))</f>
        <v/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5" x14ac:dyDescent="0.25">
      <c r="A162" s="5">
        <v>159</v>
      </c>
      <c r="B162" s="6">
        <v>45302</v>
      </c>
      <c r="C162" s="4" t="s">
        <v>44</v>
      </c>
      <c r="D162" s="4" t="s">
        <v>45</v>
      </c>
      <c r="E162" s="4" t="s">
        <v>48</v>
      </c>
      <c r="F162" s="4" t="s">
        <v>47</v>
      </c>
      <c r="G162" s="4" t="s">
        <v>136</v>
      </c>
      <c r="H162" s="4" t="s">
        <v>44</v>
      </c>
      <c r="I162" s="4">
        <f t="shared" si="0"/>
        <v>2</v>
      </c>
      <c r="J162" s="4" t="str">
        <f t="shared" si="1"/>
        <v/>
      </c>
      <c r="K162" s="4" t="str">
        <f>VLOOKUP(MONTH(B162),'03_Lookup'!A:B,2,FALSE)</f>
        <v>Jan</v>
      </c>
      <c r="L162" s="4" t="str">
        <f>IF(C162="","",VLOOKUP(MONTH(C162),'03_Lookup'!A:B,2,FALSE))</f>
        <v/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5" x14ac:dyDescent="0.25">
      <c r="A163" s="5">
        <v>160</v>
      </c>
      <c r="B163" s="6">
        <v>45294</v>
      </c>
      <c r="C163" s="4" t="s">
        <v>44</v>
      </c>
      <c r="D163" s="4" t="s">
        <v>45</v>
      </c>
      <c r="E163" s="4" t="s">
        <v>46</v>
      </c>
      <c r="F163" s="4" t="s">
        <v>49</v>
      </c>
      <c r="G163" s="4" t="s">
        <v>136</v>
      </c>
      <c r="H163" s="4" t="s">
        <v>44</v>
      </c>
      <c r="I163" s="4">
        <f t="shared" si="0"/>
        <v>1</v>
      </c>
      <c r="J163" s="4" t="str">
        <f t="shared" si="1"/>
        <v/>
      </c>
      <c r="K163" s="4" t="str">
        <f>VLOOKUP(MONTH(B163),'03_Lookup'!A:B,2,FALSE)</f>
        <v>Jan</v>
      </c>
      <c r="L163" s="4" t="str">
        <f>IF(C163="","",VLOOKUP(MONTH(C163),'03_Lookup'!A:B,2,FALSE))</f>
        <v/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5" x14ac:dyDescent="0.25">
      <c r="A164" s="5">
        <v>161</v>
      </c>
      <c r="B164" s="6">
        <v>45368</v>
      </c>
      <c r="C164" s="4" t="s">
        <v>44</v>
      </c>
      <c r="D164" s="4" t="s">
        <v>45</v>
      </c>
      <c r="E164" s="4" t="s">
        <v>48</v>
      </c>
      <c r="F164" s="4" t="s">
        <v>47</v>
      </c>
      <c r="G164" s="4" t="s">
        <v>136</v>
      </c>
      <c r="H164" s="4" t="s">
        <v>44</v>
      </c>
      <c r="I164" s="4">
        <f t="shared" si="0"/>
        <v>11</v>
      </c>
      <c r="J164" s="4" t="str">
        <f t="shared" si="1"/>
        <v/>
      </c>
      <c r="K164" s="4" t="str">
        <f>VLOOKUP(MONTH(B164),'03_Lookup'!A:B,2,FALSE)</f>
        <v>Mar</v>
      </c>
      <c r="L164" s="4" t="str">
        <f>IF(C164="","",VLOOKUP(MONTH(C164),'03_Lookup'!A:B,2,FALSE))</f>
        <v/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5" x14ac:dyDescent="0.25">
      <c r="A165" s="5">
        <v>162</v>
      </c>
      <c r="B165" s="6">
        <v>45321</v>
      </c>
      <c r="C165" s="6">
        <v>45322</v>
      </c>
      <c r="D165" s="4" t="s">
        <v>50</v>
      </c>
      <c r="E165" s="4" t="s">
        <v>46</v>
      </c>
      <c r="F165" s="4" t="s">
        <v>51</v>
      </c>
      <c r="G165" s="4" t="s">
        <v>136</v>
      </c>
      <c r="H165" s="5">
        <v>24</v>
      </c>
      <c r="I165" s="4">
        <f t="shared" si="0"/>
        <v>5</v>
      </c>
      <c r="J165" s="4">
        <f t="shared" si="1"/>
        <v>5</v>
      </c>
      <c r="K165" s="4" t="str">
        <f>VLOOKUP(MONTH(B165),'03_Lookup'!A:B,2,FALSE)</f>
        <v>Jan</v>
      </c>
      <c r="L165" s="4" t="str">
        <f>IF(C165="","",VLOOKUP(MONTH(C165),'03_Lookup'!A:B,2,FALSE))</f>
        <v>Jan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5" x14ac:dyDescent="0.25">
      <c r="A166" s="5">
        <v>163</v>
      </c>
      <c r="B166" s="6">
        <v>45346</v>
      </c>
      <c r="C166" s="6">
        <v>45350</v>
      </c>
      <c r="D166" s="4" t="s">
        <v>50</v>
      </c>
      <c r="E166" s="4" t="s">
        <v>46</v>
      </c>
      <c r="F166" s="4" t="s">
        <v>47</v>
      </c>
      <c r="G166" s="4" t="s">
        <v>135</v>
      </c>
      <c r="H166" s="5">
        <v>96</v>
      </c>
      <c r="I166" s="4">
        <f t="shared" si="0"/>
        <v>8</v>
      </c>
      <c r="J166" s="4">
        <f t="shared" si="1"/>
        <v>9</v>
      </c>
      <c r="K166" s="4" t="str">
        <f>VLOOKUP(MONTH(B166),'03_Lookup'!A:B,2,FALSE)</f>
        <v>Feb</v>
      </c>
      <c r="L166" s="4" t="str">
        <f>IF(C166="","",VLOOKUP(MONTH(C166),'03_Lookup'!A:B,2,FALSE))</f>
        <v>Feb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5" x14ac:dyDescent="0.25">
      <c r="A167" s="5">
        <v>164</v>
      </c>
      <c r="B167" s="6">
        <v>45374</v>
      </c>
      <c r="C167" s="4" t="s">
        <v>44</v>
      </c>
      <c r="D167" s="4" t="s">
        <v>45</v>
      </c>
      <c r="E167" s="4" t="s">
        <v>46</v>
      </c>
      <c r="F167" s="4" t="s">
        <v>47</v>
      </c>
      <c r="G167" s="4" t="s">
        <v>135</v>
      </c>
      <c r="H167" s="4" t="s">
        <v>44</v>
      </c>
      <c r="I167" s="4">
        <f t="shared" si="0"/>
        <v>12</v>
      </c>
      <c r="J167" s="4" t="str">
        <f t="shared" si="1"/>
        <v/>
      </c>
      <c r="K167" s="4" t="str">
        <f>VLOOKUP(MONTH(B167),'03_Lookup'!A:B,2,FALSE)</f>
        <v>Mar</v>
      </c>
      <c r="L167" s="4" t="str">
        <f>IF(C167="","",VLOOKUP(MONTH(C167),'03_Lookup'!A:B,2,FALSE))</f>
        <v/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5" x14ac:dyDescent="0.25">
      <c r="A168" s="5">
        <v>165</v>
      </c>
      <c r="B168" s="6">
        <v>45328</v>
      </c>
      <c r="C168" s="4" t="s">
        <v>44</v>
      </c>
      <c r="D168" s="4" t="s">
        <v>45</v>
      </c>
      <c r="E168" s="4" t="s">
        <v>48</v>
      </c>
      <c r="F168" s="4" t="s">
        <v>49</v>
      </c>
      <c r="G168" s="4" t="s">
        <v>136</v>
      </c>
      <c r="H168" s="4" t="s">
        <v>44</v>
      </c>
      <c r="I168" s="4">
        <f t="shared" si="0"/>
        <v>6</v>
      </c>
      <c r="J168" s="4" t="str">
        <f t="shared" si="1"/>
        <v/>
      </c>
      <c r="K168" s="4" t="str">
        <f>VLOOKUP(MONTH(B168),'03_Lookup'!A:B,2,FALSE)</f>
        <v>Feb</v>
      </c>
      <c r="L168" s="4" t="str">
        <f>IF(C168="","",VLOOKUP(MONTH(C168),'03_Lookup'!A:B,2,FALSE))</f>
        <v/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5" x14ac:dyDescent="0.25">
      <c r="A169" s="5">
        <v>166</v>
      </c>
      <c r="B169" s="6">
        <v>45317</v>
      </c>
      <c r="C169" s="4" t="s">
        <v>44</v>
      </c>
      <c r="D169" s="4" t="s">
        <v>45</v>
      </c>
      <c r="E169" s="4" t="s">
        <v>46</v>
      </c>
      <c r="F169" s="4" t="s">
        <v>47</v>
      </c>
      <c r="G169" s="4" t="s">
        <v>136</v>
      </c>
      <c r="H169" s="4" t="s">
        <v>44</v>
      </c>
      <c r="I169" s="4">
        <f t="shared" si="0"/>
        <v>4</v>
      </c>
      <c r="J169" s="4" t="str">
        <f t="shared" si="1"/>
        <v/>
      </c>
      <c r="K169" s="4" t="str">
        <f>VLOOKUP(MONTH(B169),'03_Lookup'!A:B,2,FALSE)</f>
        <v>Jan</v>
      </c>
      <c r="L169" s="4" t="str">
        <f>IF(C169="","",VLOOKUP(MONTH(C169),'03_Lookup'!A:B,2,FALSE))</f>
        <v/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5" x14ac:dyDescent="0.25">
      <c r="A170" s="5">
        <v>167</v>
      </c>
      <c r="B170" s="6">
        <v>45318</v>
      </c>
      <c r="C170" s="6">
        <v>45327</v>
      </c>
      <c r="D170" s="4" t="s">
        <v>50</v>
      </c>
      <c r="E170" s="4" t="s">
        <v>46</v>
      </c>
      <c r="F170" s="4" t="s">
        <v>51</v>
      </c>
      <c r="G170" s="4" t="s">
        <v>135</v>
      </c>
      <c r="H170" s="5">
        <v>216</v>
      </c>
      <c r="I170" s="4">
        <f t="shared" si="0"/>
        <v>4</v>
      </c>
      <c r="J170" s="4">
        <f t="shared" si="1"/>
        <v>6</v>
      </c>
      <c r="K170" s="4" t="str">
        <f>VLOOKUP(MONTH(B170),'03_Lookup'!A:B,2,FALSE)</f>
        <v>Jan</v>
      </c>
      <c r="L170" s="4" t="str">
        <f>IF(C170="","",VLOOKUP(MONTH(C170),'03_Lookup'!A:B,2,FALSE))</f>
        <v>Feb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5" x14ac:dyDescent="0.25">
      <c r="A171" s="5">
        <v>168</v>
      </c>
      <c r="B171" s="6">
        <v>45380</v>
      </c>
      <c r="C171" s="4" t="s">
        <v>44</v>
      </c>
      <c r="D171" s="4" t="s">
        <v>45</v>
      </c>
      <c r="E171" s="4" t="s">
        <v>48</v>
      </c>
      <c r="F171" s="4" t="s">
        <v>47</v>
      </c>
      <c r="G171" s="4" t="s">
        <v>135</v>
      </c>
      <c r="H171" s="4" t="s">
        <v>44</v>
      </c>
      <c r="I171" s="4">
        <f t="shared" si="0"/>
        <v>13</v>
      </c>
      <c r="J171" s="4" t="str">
        <f t="shared" si="1"/>
        <v/>
      </c>
      <c r="K171" s="4" t="str">
        <f>VLOOKUP(MONTH(B171),'03_Lookup'!A:B,2,FALSE)</f>
        <v>Mar</v>
      </c>
      <c r="L171" s="4" t="str">
        <f>IF(C171="","",VLOOKUP(MONTH(C171),'03_Lookup'!A:B,2,FALSE))</f>
        <v/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5" x14ac:dyDescent="0.25">
      <c r="A172" s="5">
        <v>169</v>
      </c>
      <c r="B172" s="6">
        <v>45338</v>
      </c>
      <c r="C172" s="4" t="s">
        <v>44</v>
      </c>
      <c r="D172" s="4" t="s">
        <v>45</v>
      </c>
      <c r="E172" s="4" t="s">
        <v>48</v>
      </c>
      <c r="F172" s="4" t="s">
        <v>51</v>
      </c>
      <c r="G172" s="4" t="s">
        <v>136</v>
      </c>
      <c r="H172" s="4" t="s">
        <v>44</v>
      </c>
      <c r="I172" s="4">
        <f t="shared" si="0"/>
        <v>7</v>
      </c>
      <c r="J172" s="4" t="str">
        <f t="shared" si="1"/>
        <v/>
      </c>
      <c r="K172" s="4" t="str">
        <f>VLOOKUP(MONTH(B172),'03_Lookup'!A:B,2,FALSE)</f>
        <v>Feb</v>
      </c>
      <c r="L172" s="4" t="str">
        <f>IF(C172="","",VLOOKUP(MONTH(C172),'03_Lookup'!A:B,2,FALSE))</f>
        <v/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5" x14ac:dyDescent="0.25">
      <c r="A173" s="5">
        <v>170</v>
      </c>
      <c r="B173" s="6">
        <v>45364</v>
      </c>
      <c r="C173" s="4" t="s">
        <v>44</v>
      </c>
      <c r="D173" s="4" t="s">
        <v>45</v>
      </c>
      <c r="E173" s="4" t="s">
        <v>46</v>
      </c>
      <c r="F173" s="4" t="s">
        <v>47</v>
      </c>
      <c r="G173" s="4" t="s">
        <v>136</v>
      </c>
      <c r="H173" s="4" t="s">
        <v>44</v>
      </c>
      <c r="I173" s="4">
        <f t="shared" si="0"/>
        <v>11</v>
      </c>
      <c r="J173" s="4" t="str">
        <f t="shared" si="1"/>
        <v/>
      </c>
      <c r="K173" s="4" t="str">
        <f>VLOOKUP(MONTH(B173),'03_Lookup'!A:B,2,FALSE)</f>
        <v>Mar</v>
      </c>
      <c r="L173" s="4" t="str">
        <f>IF(C173="","",VLOOKUP(MONTH(C173),'03_Lookup'!A:B,2,FALSE))</f>
        <v/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5" x14ac:dyDescent="0.25">
      <c r="A174" s="5">
        <v>171</v>
      </c>
      <c r="B174" s="6">
        <v>45295</v>
      </c>
      <c r="C174" s="4" t="s">
        <v>44</v>
      </c>
      <c r="D174" s="4" t="s">
        <v>45</v>
      </c>
      <c r="E174" s="4" t="s">
        <v>46</v>
      </c>
      <c r="F174" s="4" t="s">
        <v>51</v>
      </c>
      <c r="G174" s="4" t="s">
        <v>135</v>
      </c>
      <c r="H174" s="4" t="s">
        <v>44</v>
      </c>
      <c r="I174" s="4">
        <f t="shared" si="0"/>
        <v>1</v>
      </c>
      <c r="J174" s="4" t="str">
        <f t="shared" si="1"/>
        <v/>
      </c>
      <c r="K174" s="4" t="str">
        <f>VLOOKUP(MONTH(B174),'03_Lookup'!A:B,2,FALSE)</f>
        <v>Jan</v>
      </c>
      <c r="L174" s="4" t="str">
        <f>IF(C174="","",VLOOKUP(MONTH(C174),'03_Lookup'!A:B,2,FALSE))</f>
        <v/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5" x14ac:dyDescent="0.25">
      <c r="A175" s="5">
        <v>172</v>
      </c>
      <c r="B175" s="6">
        <v>45299</v>
      </c>
      <c r="C175" s="6">
        <v>45302</v>
      </c>
      <c r="D175" s="4" t="s">
        <v>50</v>
      </c>
      <c r="E175" s="4" t="s">
        <v>46</v>
      </c>
      <c r="F175" s="4" t="s">
        <v>49</v>
      </c>
      <c r="G175" s="4" t="s">
        <v>136</v>
      </c>
      <c r="H175" s="5">
        <v>72</v>
      </c>
      <c r="I175" s="4">
        <f t="shared" si="0"/>
        <v>2</v>
      </c>
      <c r="J175" s="4">
        <f t="shared" si="1"/>
        <v>2</v>
      </c>
      <c r="K175" s="4" t="str">
        <f>VLOOKUP(MONTH(B175),'03_Lookup'!A:B,2,FALSE)</f>
        <v>Jan</v>
      </c>
      <c r="L175" s="4" t="str">
        <f>IF(C175="","",VLOOKUP(MONTH(C175),'03_Lookup'!A:B,2,FALSE))</f>
        <v>Jan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5" x14ac:dyDescent="0.25">
      <c r="A176" s="5">
        <v>173</v>
      </c>
      <c r="B176" s="6">
        <v>45361</v>
      </c>
      <c r="C176" s="6">
        <v>45366</v>
      </c>
      <c r="D176" s="4" t="s">
        <v>50</v>
      </c>
      <c r="E176" s="4" t="s">
        <v>48</v>
      </c>
      <c r="F176" s="4" t="s">
        <v>47</v>
      </c>
      <c r="G176" s="4" t="s">
        <v>135</v>
      </c>
      <c r="H176" s="5">
        <v>120</v>
      </c>
      <c r="I176" s="4">
        <f t="shared" si="0"/>
        <v>10</v>
      </c>
      <c r="J176" s="4">
        <f t="shared" si="1"/>
        <v>11</v>
      </c>
      <c r="K176" s="4" t="str">
        <f>VLOOKUP(MONTH(B176),'03_Lookup'!A:B,2,FALSE)</f>
        <v>Mar</v>
      </c>
      <c r="L176" s="4" t="str">
        <f>IF(C176="","",VLOOKUP(MONTH(C176),'03_Lookup'!A:B,2,FALSE))</f>
        <v>Mar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5" x14ac:dyDescent="0.25">
      <c r="A177" s="5">
        <v>174</v>
      </c>
      <c r="B177" s="6">
        <v>45295</v>
      </c>
      <c r="C177" s="6">
        <v>45299</v>
      </c>
      <c r="D177" s="4" t="s">
        <v>50</v>
      </c>
      <c r="E177" s="4" t="s">
        <v>48</v>
      </c>
      <c r="F177" s="4" t="s">
        <v>47</v>
      </c>
      <c r="G177" s="4" t="s">
        <v>136</v>
      </c>
      <c r="H177" s="5">
        <v>96</v>
      </c>
      <c r="I177" s="4">
        <f t="shared" si="0"/>
        <v>1</v>
      </c>
      <c r="J177" s="4">
        <f t="shared" si="1"/>
        <v>2</v>
      </c>
      <c r="K177" s="4" t="str">
        <f>VLOOKUP(MONTH(B177),'03_Lookup'!A:B,2,FALSE)</f>
        <v>Jan</v>
      </c>
      <c r="L177" s="4" t="str">
        <f>IF(C177="","",VLOOKUP(MONTH(C177),'03_Lookup'!A:B,2,FALSE))</f>
        <v>Jan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5" x14ac:dyDescent="0.25">
      <c r="A178" s="5">
        <v>175</v>
      </c>
      <c r="B178" s="6">
        <v>45304</v>
      </c>
      <c r="C178" s="4" t="s">
        <v>44</v>
      </c>
      <c r="D178" s="4" t="s">
        <v>45</v>
      </c>
      <c r="E178" s="4" t="s">
        <v>48</v>
      </c>
      <c r="F178" s="4" t="s">
        <v>51</v>
      </c>
      <c r="G178" s="4" t="s">
        <v>135</v>
      </c>
      <c r="H178" s="4" t="s">
        <v>44</v>
      </c>
      <c r="I178" s="4">
        <f t="shared" si="0"/>
        <v>2</v>
      </c>
      <c r="J178" s="4" t="str">
        <f t="shared" si="1"/>
        <v/>
      </c>
      <c r="K178" s="4" t="str">
        <f>VLOOKUP(MONTH(B178),'03_Lookup'!A:B,2,FALSE)</f>
        <v>Jan</v>
      </c>
      <c r="L178" s="4" t="str">
        <f>IF(C178="","",VLOOKUP(MONTH(C178),'03_Lookup'!A:B,2,FALSE))</f>
        <v/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5" x14ac:dyDescent="0.25">
      <c r="A179" s="5">
        <v>176</v>
      </c>
      <c r="B179" s="6">
        <v>45355</v>
      </c>
      <c r="C179" s="4" t="s">
        <v>44</v>
      </c>
      <c r="D179" s="4" t="s">
        <v>45</v>
      </c>
      <c r="E179" s="4" t="s">
        <v>48</v>
      </c>
      <c r="F179" s="4" t="s">
        <v>47</v>
      </c>
      <c r="G179" s="4" t="s">
        <v>136</v>
      </c>
      <c r="H179" s="4" t="s">
        <v>44</v>
      </c>
      <c r="I179" s="4">
        <f t="shared" si="0"/>
        <v>10</v>
      </c>
      <c r="J179" s="4" t="str">
        <f t="shared" si="1"/>
        <v/>
      </c>
      <c r="K179" s="4" t="str">
        <f>VLOOKUP(MONTH(B179),'03_Lookup'!A:B,2,FALSE)</f>
        <v>Mar</v>
      </c>
      <c r="L179" s="4" t="str">
        <f>IF(C179="","",VLOOKUP(MONTH(C179),'03_Lookup'!A:B,2,FALSE))</f>
        <v/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5" x14ac:dyDescent="0.25">
      <c r="A180" s="5">
        <v>177</v>
      </c>
      <c r="B180" s="6">
        <v>45321</v>
      </c>
      <c r="C180" s="4" t="s">
        <v>44</v>
      </c>
      <c r="D180" s="4" t="s">
        <v>45</v>
      </c>
      <c r="E180" s="4" t="s">
        <v>46</v>
      </c>
      <c r="F180" s="4" t="s">
        <v>47</v>
      </c>
      <c r="G180" s="4" t="s">
        <v>136</v>
      </c>
      <c r="H180" s="4" t="s">
        <v>44</v>
      </c>
      <c r="I180" s="4">
        <f t="shared" si="0"/>
        <v>5</v>
      </c>
      <c r="J180" s="4" t="str">
        <f t="shared" si="1"/>
        <v/>
      </c>
      <c r="K180" s="4" t="str">
        <f>VLOOKUP(MONTH(B180),'03_Lookup'!A:B,2,FALSE)</f>
        <v>Jan</v>
      </c>
      <c r="L180" s="4" t="str">
        <f>IF(C180="","",VLOOKUP(MONTH(C180),'03_Lookup'!A:B,2,FALSE))</f>
        <v/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5" x14ac:dyDescent="0.25">
      <c r="A181" s="5">
        <v>178</v>
      </c>
      <c r="B181" s="6">
        <v>45362</v>
      </c>
      <c r="C181" s="4" t="s">
        <v>44</v>
      </c>
      <c r="D181" s="4" t="s">
        <v>45</v>
      </c>
      <c r="E181" s="4" t="s">
        <v>48</v>
      </c>
      <c r="F181" s="4" t="s">
        <v>49</v>
      </c>
      <c r="G181" s="4" t="s">
        <v>135</v>
      </c>
      <c r="H181" s="4" t="s">
        <v>44</v>
      </c>
      <c r="I181" s="4">
        <f t="shared" si="0"/>
        <v>11</v>
      </c>
      <c r="J181" s="4" t="str">
        <f t="shared" si="1"/>
        <v/>
      </c>
      <c r="K181" s="4" t="str">
        <f>VLOOKUP(MONTH(B181),'03_Lookup'!A:B,2,FALSE)</f>
        <v>Mar</v>
      </c>
      <c r="L181" s="4" t="str">
        <f>IF(C181="","",VLOOKUP(MONTH(C181),'03_Lookup'!A:B,2,FALSE))</f>
        <v/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5" x14ac:dyDescent="0.25">
      <c r="A182" s="5">
        <v>179</v>
      </c>
      <c r="B182" s="6">
        <v>45335</v>
      </c>
      <c r="C182" s="4" t="s">
        <v>44</v>
      </c>
      <c r="D182" s="4" t="s">
        <v>45</v>
      </c>
      <c r="E182" s="4" t="s">
        <v>46</v>
      </c>
      <c r="F182" s="4" t="s">
        <v>49</v>
      </c>
      <c r="G182" s="4" t="s">
        <v>135</v>
      </c>
      <c r="H182" s="4" t="s">
        <v>44</v>
      </c>
      <c r="I182" s="4">
        <f t="shared" si="0"/>
        <v>7</v>
      </c>
      <c r="J182" s="4" t="str">
        <f t="shared" si="1"/>
        <v/>
      </c>
      <c r="K182" s="4" t="str">
        <f>VLOOKUP(MONTH(B182),'03_Lookup'!A:B,2,FALSE)</f>
        <v>Feb</v>
      </c>
      <c r="L182" s="4" t="str">
        <f>IF(C182="","",VLOOKUP(MONTH(C182),'03_Lookup'!A:B,2,FALSE))</f>
        <v/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5" x14ac:dyDescent="0.25">
      <c r="A183" s="5">
        <v>180</v>
      </c>
      <c r="B183" s="6">
        <v>45368</v>
      </c>
      <c r="C183" s="6">
        <v>45371</v>
      </c>
      <c r="D183" s="4" t="s">
        <v>50</v>
      </c>
      <c r="E183" s="4" t="s">
        <v>46</v>
      </c>
      <c r="F183" s="4" t="s">
        <v>47</v>
      </c>
      <c r="G183" s="4" t="s">
        <v>136</v>
      </c>
      <c r="H183" s="5">
        <v>72</v>
      </c>
      <c r="I183" s="4">
        <f t="shared" si="0"/>
        <v>11</v>
      </c>
      <c r="J183" s="4">
        <f t="shared" si="1"/>
        <v>12</v>
      </c>
      <c r="K183" s="4" t="str">
        <f>VLOOKUP(MONTH(B183),'03_Lookup'!A:B,2,FALSE)</f>
        <v>Mar</v>
      </c>
      <c r="L183" s="4" t="str">
        <f>IF(C183="","",VLOOKUP(MONTH(C183),'03_Lookup'!A:B,2,FALSE))</f>
        <v>Mar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5" x14ac:dyDescent="0.25">
      <c r="A184" s="5">
        <v>181</v>
      </c>
      <c r="B184" s="6">
        <v>45375</v>
      </c>
      <c r="C184" s="7"/>
      <c r="D184" s="4" t="s">
        <v>50</v>
      </c>
      <c r="E184" s="4" t="s">
        <v>48</v>
      </c>
      <c r="F184" s="4" t="s">
        <v>47</v>
      </c>
      <c r="G184" s="4" t="s">
        <v>135</v>
      </c>
      <c r="H184" s="5">
        <v>240</v>
      </c>
      <c r="I184" s="4">
        <f t="shared" si="0"/>
        <v>12</v>
      </c>
      <c r="J184" s="4" t="str">
        <f t="shared" si="1"/>
        <v/>
      </c>
      <c r="K184" s="4" t="str">
        <f>VLOOKUP(MONTH(B184),'03_Lookup'!A:B,2,FALSE)</f>
        <v>Mar</v>
      </c>
      <c r="L184" s="4" t="str">
        <f>IF(C184="","",VLOOKUP(MONTH(C184),'03_Lookup'!A:B,2,FALSE))</f>
        <v/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5" x14ac:dyDescent="0.25">
      <c r="A185" s="5">
        <v>182</v>
      </c>
      <c r="B185" s="6">
        <v>45316</v>
      </c>
      <c r="C185" s="4" t="s">
        <v>44</v>
      </c>
      <c r="D185" s="4" t="s">
        <v>45</v>
      </c>
      <c r="E185" s="4" t="s">
        <v>48</v>
      </c>
      <c r="F185" s="4" t="s">
        <v>51</v>
      </c>
      <c r="G185" s="4" t="s">
        <v>135</v>
      </c>
      <c r="H185" s="4" t="s">
        <v>44</v>
      </c>
      <c r="I185" s="4">
        <f t="shared" si="0"/>
        <v>4</v>
      </c>
      <c r="J185" s="4" t="str">
        <f t="shared" si="1"/>
        <v/>
      </c>
      <c r="K185" s="4" t="str">
        <f>VLOOKUP(MONTH(B185),'03_Lookup'!A:B,2,FALSE)</f>
        <v>Jan</v>
      </c>
      <c r="L185" s="4" t="str">
        <f>IF(C185="","",VLOOKUP(MONTH(C185),'03_Lookup'!A:B,2,FALSE))</f>
        <v/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5" x14ac:dyDescent="0.25">
      <c r="A186" s="5">
        <v>183</v>
      </c>
      <c r="B186" s="6">
        <v>45298</v>
      </c>
      <c r="C186" s="4" t="s">
        <v>44</v>
      </c>
      <c r="D186" s="4" t="s">
        <v>45</v>
      </c>
      <c r="E186" s="4" t="s">
        <v>46</v>
      </c>
      <c r="F186" s="4" t="s">
        <v>51</v>
      </c>
      <c r="G186" s="4" t="s">
        <v>136</v>
      </c>
      <c r="H186" s="4" t="s">
        <v>44</v>
      </c>
      <c r="I186" s="4">
        <f t="shared" si="0"/>
        <v>1</v>
      </c>
      <c r="J186" s="4" t="str">
        <f t="shared" si="1"/>
        <v/>
      </c>
      <c r="K186" s="4" t="str">
        <f>VLOOKUP(MONTH(B186),'03_Lookup'!A:B,2,FALSE)</f>
        <v>Jan</v>
      </c>
      <c r="L186" s="4" t="str">
        <f>IF(C186="","",VLOOKUP(MONTH(C186),'03_Lookup'!A:B,2,FALSE))</f>
        <v/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5" x14ac:dyDescent="0.25">
      <c r="A187" s="5">
        <v>184</v>
      </c>
      <c r="B187" s="6">
        <v>45331</v>
      </c>
      <c r="C187" s="4" t="s">
        <v>44</v>
      </c>
      <c r="D187" s="4" t="s">
        <v>45</v>
      </c>
      <c r="E187" s="4" t="s">
        <v>46</v>
      </c>
      <c r="F187" s="4" t="s">
        <v>49</v>
      </c>
      <c r="G187" s="4" t="s">
        <v>135</v>
      </c>
      <c r="H187" s="4" t="s">
        <v>44</v>
      </c>
      <c r="I187" s="4">
        <f t="shared" si="0"/>
        <v>6</v>
      </c>
      <c r="J187" s="4" t="str">
        <f t="shared" si="1"/>
        <v/>
      </c>
      <c r="K187" s="4" t="str">
        <f>VLOOKUP(MONTH(B187),'03_Lookup'!A:B,2,FALSE)</f>
        <v>Feb</v>
      </c>
      <c r="L187" s="4" t="str">
        <f>IF(C187="","",VLOOKUP(MONTH(C187),'03_Lookup'!A:B,2,FALSE))</f>
        <v/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5" x14ac:dyDescent="0.25">
      <c r="A188" s="5">
        <v>185</v>
      </c>
      <c r="B188" s="6">
        <v>45292</v>
      </c>
      <c r="C188" s="4" t="s">
        <v>44</v>
      </c>
      <c r="D188" s="4" t="s">
        <v>45</v>
      </c>
      <c r="E188" s="4" t="s">
        <v>48</v>
      </c>
      <c r="F188" s="4" t="s">
        <v>47</v>
      </c>
      <c r="G188" s="4" t="s">
        <v>136</v>
      </c>
      <c r="H188" s="4" t="s">
        <v>44</v>
      </c>
      <c r="I188" s="4">
        <f t="shared" si="0"/>
        <v>1</v>
      </c>
      <c r="J188" s="4" t="str">
        <f t="shared" si="1"/>
        <v/>
      </c>
      <c r="K188" s="4" t="str">
        <f>VLOOKUP(MONTH(B188),'03_Lookup'!A:B,2,FALSE)</f>
        <v>Jan</v>
      </c>
      <c r="L188" s="4" t="str">
        <f>IF(C188="","",VLOOKUP(MONTH(C188),'03_Lookup'!A:B,2,FALSE))</f>
        <v/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5" x14ac:dyDescent="0.25">
      <c r="A189" s="5">
        <v>186</v>
      </c>
      <c r="B189" s="6">
        <v>45360</v>
      </c>
      <c r="C189" s="4" t="s">
        <v>44</v>
      </c>
      <c r="D189" s="4" t="s">
        <v>45</v>
      </c>
      <c r="E189" s="4" t="s">
        <v>48</v>
      </c>
      <c r="F189" s="4" t="s">
        <v>47</v>
      </c>
      <c r="G189" s="4" t="s">
        <v>135</v>
      </c>
      <c r="H189" s="4" t="s">
        <v>44</v>
      </c>
      <c r="I189" s="4">
        <f t="shared" si="0"/>
        <v>10</v>
      </c>
      <c r="J189" s="4" t="str">
        <f t="shared" si="1"/>
        <v/>
      </c>
      <c r="K189" s="4" t="str">
        <f>VLOOKUP(MONTH(B189),'03_Lookup'!A:B,2,FALSE)</f>
        <v>Mar</v>
      </c>
      <c r="L189" s="4" t="str">
        <f>IF(C189="","",VLOOKUP(MONTH(C189),'03_Lookup'!A:B,2,FALSE))</f>
        <v/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5" x14ac:dyDescent="0.25">
      <c r="A190" s="5">
        <v>187</v>
      </c>
      <c r="B190" s="6">
        <v>45343</v>
      </c>
      <c r="C190" s="4" t="s">
        <v>44</v>
      </c>
      <c r="D190" s="4" t="s">
        <v>45</v>
      </c>
      <c r="E190" s="4" t="s">
        <v>48</v>
      </c>
      <c r="F190" s="4" t="s">
        <v>47</v>
      </c>
      <c r="G190" s="4" t="s">
        <v>136</v>
      </c>
      <c r="H190" s="4" t="s">
        <v>44</v>
      </c>
      <c r="I190" s="4">
        <f t="shared" si="0"/>
        <v>8</v>
      </c>
      <c r="J190" s="4" t="str">
        <f t="shared" si="1"/>
        <v/>
      </c>
      <c r="K190" s="4" t="str">
        <f>VLOOKUP(MONTH(B190),'03_Lookup'!A:B,2,FALSE)</f>
        <v>Feb</v>
      </c>
      <c r="L190" s="4" t="str">
        <f>IF(C190="","",VLOOKUP(MONTH(C190),'03_Lookup'!A:B,2,FALSE))</f>
        <v/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5" x14ac:dyDescent="0.25">
      <c r="A191" s="5">
        <v>188</v>
      </c>
      <c r="B191" s="6">
        <v>45352</v>
      </c>
      <c r="C191" s="4" t="s">
        <v>44</v>
      </c>
      <c r="D191" s="4" t="s">
        <v>45</v>
      </c>
      <c r="E191" s="4" t="s">
        <v>46</v>
      </c>
      <c r="F191" s="4" t="s">
        <v>47</v>
      </c>
      <c r="G191" s="4" t="s">
        <v>136</v>
      </c>
      <c r="H191" s="4" t="s">
        <v>44</v>
      </c>
      <c r="I191" s="4">
        <f t="shared" si="0"/>
        <v>9</v>
      </c>
      <c r="J191" s="4" t="str">
        <f t="shared" si="1"/>
        <v/>
      </c>
      <c r="K191" s="4" t="str">
        <f>VLOOKUP(MONTH(B191),'03_Lookup'!A:B,2,FALSE)</f>
        <v>Mar</v>
      </c>
      <c r="L191" s="4" t="str">
        <f>IF(C191="","",VLOOKUP(MONTH(C191),'03_Lookup'!A:B,2,FALSE))</f>
        <v/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5" x14ac:dyDescent="0.25">
      <c r="A192" s="5">
        <v>189</v>
      </c>
      <c r="B192" s="6">
        <v>45332</v>
      </c>
      <c r="C192" s="6">
        <v>45341</v>
      </c>
      <c r="D192" s="4" t="s">
        <v>50</v>
      </c>
      <c r="E192" s="4" t="s">
        <v>46</v>
      </c>
      <c r="F192" s="4" t="s">
        <v>49</v>
      </c>
      <c r="G192" s="4" t="s">
        <v>136</v>
      </c>
      <c r="H192" s="5">
        <v>216</v>
      </c>
      <c r="I192" s="4">
        <f t="shared" si="0"/>
        <v>6</v>
      </c>
      <c r="J192" s="4">
        <f t="shared" si="1"/>
        <v>8</v>
      </c>
      <c r="K192" s="4" t="str">
        <f>VLOOKUP(MONTH(B192),'03_Lookup'!A:B,2,FALSE)</f>
        <v>Feb</v>
      </c>
      <c r="L192" s="4" t="str">
        <f>IF(C192="","",VLOOKUP(MONTH(C192),'03_Lookup'!A:B,2,FALSE))</f>
        <v>Feb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5" x14ac:dyDescent="0.25">
      <c r="A193" s="5">
        <v>190</v>
      </c>
      <c r="B193" s="6">
        <v>45338</v>
      </c>
      <c r="C193" s="4" t="s">
        <v>44</v>
      </c>
      <c r="D193" s="4" t="s">
        <v>45</v>
      </c>
      <c r="E193" s="4" t="s">
        <v>48</v>
      </c>
      <c r="F193" s="4" t="s">
        <v>49</v>
      </c>
      <c r="G193" s="4" t="s">
        <v>135</v>
      </c>
      <c r="H193" s="4" t="s">
        <v>44</v>
      </c>
      <c r="I193" s="4">
        <f t="shared" si="0"/>
        <v>7</v>
      </c>
      <c r="J193" s="4" t="str">
        <f t="shared" si="1"/>
        <v/>
      </c>
      <c r="K193" s="4" t="str">
        <f>VLOOKUP(MONTH(B193),'03_Lookup'!A:B,2,FALSE)</f>
        <v>Feb</v>
      </c>
      <c r="L193" s="4" t="str">
        <f>IF(C193="","",VLOOKUP(MONTH(C193),'03_Lookup'!A:B,2,FALSE))</f>
        <v/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5" x14ac:dyDescent="0.25">
      <c r="A194" s="5">
        <v>191</v>
      </c>
      <c r="B194" s="6">
        <v>45332</v>
      </c>
      <c r="C194" s="4" t="s">
        <v>44</v>
      </c>
      <c r="D194" s="4" t="s">
        <v>45</v>
      </c>
      <c r="E194" s="4" t="s">
        <v>46</v>
      </c>
      <c r="F194" s="4" t="s">
        <v>47</v>
      </c>
      <c r="G194" s="4" t="s">
        <v>136</v>
      </c>
      <c r="H194" s="4" t="s">
        <v>44</v>
      </c>
      <c r="I194" s="4">
        <f t="shared" si="0"/>
        <v>6</v>
      </c>
      <c r="J194" s="4" t="str">
        <f t="shared" si="1"/>
        <v/>
      </c>
      <c r="K194" s="4" t="str">
        <f>VLOOKUP(MONTH(B194),'03_Lookup'!A:B,2,FALSE)</f>
        <v>Feb</v>
      </c>
      <c r="L194" s="4" t="str">
        <f>IF(C194="","",VLOOKUP(MONTH(C194),'03_Lookup'!A:B,2,FALSE))</f>
        <v/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5" x14ac:dyDescent="0.25">
      <c r="A195" s="5">
        <v>192</v>
      </c>
      <c r="B195" s="6">
        <v>45338</v>
      </c>
      <c r="C195" s="4" t="s">
        <v>44</v>
      </c>
      <c r="D195" s="4" t="s">
        <v>45</v>
      </c>
      <c r="E195" s="4" t="s">
        <v>48</v>
      </c>
      <c r="F195" s="4" t="s">
        <v>47</v>
      </c>
      <c r="G195" s="4" t="s">
        <v>135</v>
      </c>
      <c r="H195" s="4" t="s">
        <v>44</v>
      </c>
      <c r="I195" s="4">
        <f t="shared" si="0"/>
        <v>7</v>
      </c>
      <c r="J195" s="4" t="str">
        <f t="shared" si="1"/>
        <v/>
      </c>
      <c r="K195" s="4" t="str">
        <f>VLOOKUP(MONTH(B195),'03_Lookup'!A:B,2,FALSE)</f>
        <v>Feb</v>
      </c>
      <c r="L195" s="4" t="str">
        <f>IF(C195="","",VLOOKUP(MONTH(C195),'03_Lookup'!A:B,2,FALSE))</f>
        <v/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5" x14ac:dyDescent="0.25">
      <c r="A196" s="5">
        <v>193</v>
      </c>
      <c r="B196" s="6">
        <v>45327</v>
      </c>
      <c r="C196" s="6">
        <v>45333</v>
      </c>
      <c r="D196" s="4" t="s">
        <v>50</v>
      </c>
      <c r="E196" s="4" t="s">
        <v>48</v>
      </c>
      <c r="F196" s="4" t="s">
        <v>51</v>
      </c>
      <c r="G196" s="4" t="s">
        <v>135</v>
      </c>
      <c r="H196" s="5">
        <v>144</v>
      </c>
      <c r="I196" s="4">
        <f t="shared" si="0"/>
        <v>6</v>
      </c>
      <c r="J196" s="4">
        <f t="shared" si="1"/>
        <v>6</v>
      </c>
      <c r="K196" s="4" t="str">
        <f>VLOOKUP(MONTH(B196),'03_Lookup'!A:B,2,FALSE)</f>
        <v>Feb</v>
      </c>
      <c r="L196" s="4" t="str">
        <f>IF(C196="","",VLOOKUP(MONTH(C196),'03_Lookup'!A:B,2,FALSE))</f>
        <v>Feb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5" x14ac:dyDescent="0.25">
      <c r="A197" s="5">
        <v>194</v>
      </c>
      <c r="B197" s="6">
        <v>45343</v>
      </c>
      <c r="C197" s="4" t="s">
        <v>44</v>
      </c>
      <c r="D197" s="4" t="s">
        <v>45</v>
      </c>
      <c r="E197" s="4" t="s">
        <v>46</v>
      </c>
      <c r="F197" s="4" t="s">
        <v>51</v>
      </c>
      <c r="G197" s="4" t="s">
        <v>135</v>
      </c>
      <c r="H197" s="4" t="s">
        <v>44</v>
      </c>
      <c r="I197" s="4">
        <f t="shared" si="0"/>
        <v>8</v>
      </c>
      <c r="J197" s="4" t="str">
        <f t="shared" si="1"/>
        <v/>
      </c>
      <c r="K197" s="4" t="str">
        <f>VLOOKUP(MONTH(B197),'03_Lookup'!A:B,2,FALSE)</f>
        <v>Feb</v>
      </c>
      <c r="L197" s="4" t="str">
        <f>IF(C197="","",VLOOKUP(MONTH(C197),'03_Lookup'!A:B,2,FALSE))</f>
        <v/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5" x14ac:dyDescent="0.25">
      <c r="A198" s="5">
        <v>195</v>
      </c>
      <c r="B198" s="6">
        <v>45350</v>
      </c>
      <c r="C198" s="4" t="s">
        <v>44</v>
      </c>
      <c r="D198" s="4" t="s">
        <v>45</v>
      </c>
      <c r="E198" s="4" t="s">
        <v>48</v>
      </c>
      <c r="F198" s="4" t="s">
        <v>49</v>
      </c>
      <c r="G198" s="4" t="s">
        <v>136</v>
      </c>
      <c r="H198" s="4" t="s">
        <v>44</v>
      </c>
      <c r="I198" s="4">
        <f t="shared" si="0"/>
        <v>9</v>
      </c>
      <c r="J198" s="4" t="str">
        <f t="shared" si="1"/>
        <v/>
      </c>
      <c r="K198" s="4" t="str">
        <f>VLOOKUP(MONTH(B198),'03_Lookup'!A:B,2,FALSE)</f>
        <v>Feb</v>
      </c>
      <c r="L198" s="4" t="str">
        <f>IF(C198="","",VLOOKUP(MONTH(C198),'03_Lookup'!A:B,2,FALSE))</f>
        <v/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5" x14ac:dyDescent="0.25">
      <c r="A199" s="5">
        <v>196</v>
      </c>
      <c r="B199" s="6">
        <v>45352</v>
      </c>
      <c r="C199" s="6">
        <v>45360</v>
      </c>
      <c r="D199" s="4" t="s">
        <v>50</v>
      </c>
      <c r="E199" s="4" t="s">
        <v>48</v>
      </c>
      <c r="F199" s="4" t="s">
        <v>51</v>
      </c>
      <c r="G199" s="4" t="s">
        <v>135</v>
      </c>
      <c r="H199" s="5">
        <v>192</v>
      </c>
      <c r="I199" s="4">
        <f t="shared" si="0"/>
        <v>9</v>
      </c>
      <c r="J199" s="4">
        <f t="shared" si="1"/>
        <v>10</v>
      </c>
      <c r="K199" s="4" t="str">
        <f>VLOOKUP(MONTH(B199),'03_Lookup'!A:B,2,FALSE)</f>
        <v>Mar</v>
      </c>
      <c r="L199" s="4" t="str">
        <f>IF(C199="","",VLOOKUP(MONTH(C199),'03_Lookup'!A:B,2,FALSE))</f>
        <v>Mar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5" x14ac:dyDescent="0.25">
      <c r="A200" s="5">
        <v>197</v>
      </c>
      <c r="B200" s="6">
        <v>45333</v>
      </c>
      <c r="C200" s="4" t="s">
        <v>44</v>
      </c>
      <c r="D200" s="4" t="s">
        <v>45</v>
      </c>
      <c r="E200" s="4" t="s">
        <v>46</v>
      </c>
      <c r="F200" s="4" t="s">
        <v>51</v>
      </c>
      <c r="G200" s="4" t="s">
        <v>135</v>
      </c>
      <c r="H200" s="4" t="s">
        <v>44</v>
      </c>
      <c r="I200" s="4">
        <f t="shared" si="0"/>
        <v>6</v>
      </c>
      <c r="J200" s="4" t="str">
        <f t="shared" si="1"/>
        <v/>
      </c>
      <c r="K200" s="4" t="str">
        <f>VLOOKUP(MONTH(B200),'03_Lookup'!A:B,2,FALSE)</f>
        <v>Feb</v>
      </c>
      <c r="L200" s="4" t="str">
        <f>IF(C200="","",VLOOKUP(MONTH(C200),'03_Lookup'!A:B,2,FALSE))</f>
        <v/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5" x14ac:dyDescent="0.25">
      <c r="A201" s="5">
        <v>198</v>
      </c>
      <c r="B201" s="6">
        <v>45357</v>
      </c>
      <c r="C201" s="4" t="s">
        <v>44</v>
      </c>
      <c r="D201" s="4" t="s">
        <v>45</v>
      </c>
      <c r="E201" s="4" t="s">
        <v>48</v>
      </c>
      <c r="F201" s="4" t="s">
        <v>49</v>
      </c>
      <c r="G201" s="4" t="s">
        <v>135</v>
      </c>
      <c r="H201" s="4" t="s">
        <v>44</v>
      </c>
      <c r="I201" s="4">
        <f t="shared" si="0"/>
        <v>10</v>
      </c>
      <c r="J201" s="4" t="str">
        <f t="shared" si="1"/>
        <v/>
      </c>
      <c r="K201" s="4" t="str">
        <f>VLOOKUP(MONTH(B201),'03_Lookup'!A:B,2,FALSE)</f>
        <v>Mar</v>
      </c>
      <c r="L201" s="4" t="str">
        <f>IF(C201="","",VLOOKUP(MONTH(C201),'03_Lookup'!A:B,2,FALSE))</f>
        <v/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5" x14ac:dyDescent="0.25">
      <c r="A202" s="5">
        <v>199</v>
      </c>
      <c r="B202" s="6">
        <v>45381</v>
      </c>
      <c r="C202" s="4" t="s">
        <v>44</v>
      </c>
      <c r="D202" s="4" t="s">
        <v>45</v>
      </c>
      <c r="E202" s="4" t="s">
        <v>48</v>
      </c>
      <c r="F202" s="4" t="s">
        <v>49</v>
      </c>
      <c r="G202" s="4" t="s">
        <v>136</v>
      </c>
      <c r="H202" s="4" t="s">
        <v>44</v>
      </c>
      <c r="I202" s="4">
        <f t="shared" si="0"/>
        <v>13</v>
      </c>
      <c r="J202" s="4" t="str">
        <f t="shared" si="1"/>
        <v/>
      </c>
      <c r="K202" s="4" t="str">
        <f>VLOOKUP(MONTH(B202),'03_Lookup'!A:B,2,FALSE)</f>
        <v>Mar</v>
      </c>
      <c r="L202" s="4" t="str">
        <f>IF(C202="","",VLOOKUP(MONTH(C202),'03_Lookup'!A:B,2,FALSE))</f>
        <v/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5" x14ac:dyDescent="0.25">
      <c r="A203" s="5">
        <v>200</v>
      </c>
      <c r="B203" s="6">
        <v>45379</v>
      </c>
      <c r="C203" s="4" t="s">
        <v>44</v>
      </c>
      <c r="D203" s="4" t="s">
        <v>45</v>
      </c>
      <c r="E203" s="4" t="s">
        <v>48</v>
      </c>
      <c r="F203" s="4" t="s">
        <v>47</v>
      </c>
      <c r="G203" s="4" t="s">
        <v>136</v>
      </c>
      <c r="H203" s="4" t="s">
        <v>44</v>
      </c>
      <c r="I203" s="4">
        <f t="shared" si="0"/>
        <v>13</v>
      </c>
      <c r="J203" s="4" t="str">
        <f t="shared" si="1"/>
        <v/>
      </c>
      <c r="K203" s="4" t="str">
        <f>VLOOKUP(MONTH(B203),'03_Lookup'!A:B,2,FALSE)</f>
        <v>Mar</v>
      </c>
      <c r="L203" s="4" t="str">
        <f>IF(C203="","",VLOOKUP(MONTH(C203),'03_Lookup'!A:B,2,FALSE))</f>
        <v/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5" x14ac:dyDescent="0.25">
      <c r="A204" s="5">
        <v>201</v>
      </c>
      <c r="B204" s="6">
        <v>45304</v>
      </c>
      <c r="C204" s="6">
        <v>45308</v>
      </c>
      <c r="D204" s="4" t="s">
        <v>50</v>
      </c>
      <c r="E204" s="4" t="s">
        <v>48</v>
      </c>
      <c r="F204" s="4" t="s">
        <v>49</v>
      </c>
      <c r="G204" s="4" t="s">
        <v>136</v>
      </c>
      <c r="H204" s="5">
        <v>96</v>
      </c>
      <c r="I204" s="4">
        <f t="shared" si="0"/>
        <v>2</v>
      </c>
      <c r="J204" s="4">
        <f t="shared" si="1"/>
        <v>3</v>
      </c>
      <c r="K204" s="4" t="str">
        <f>VLOOKUP(MONTH(B204),'03_Lookup'!A:B,2,FALSE)</f>
        <v>Jan</v>
      </c>
      <c r="L204" s="4" t="str">
        <f>IF(C204="","",VLOOKUP(MONTH(C204),'03_Lookup'!A:B,2,FALSE))</f>
        <v>Jan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5" x14ac:dyDescent="0.25">
      <c r="A205" s="5">
        <v>202</v>
      </c>
      <c r="B205" s="6">
        <v>45359</v>
      </c>
      <c r="C205" s="7"/>
      <c r="D205" s="4" t="s">
        <v>45</v>
      </c>
      <c r="E205" s="4" t="s">
        <v>46</v>
      </c>
      <c r="F205" s="4" t="s">
        <v>49</v>
      </c>
      <c r="G205" s="4" t="s">
        <v>135</v>
      </c>
      <c r="H205" s="4"/>
      <c r="I205" s="4">
        <f t="shared" si="0"/>
        <v>10</v>
      </c>
      <c r="J205" s="4" t="str">
        <f t="shared" si="1"/>
        <v/>
      </c>
      <c r="K205" s="4" t="str">
        <f>VLOOKUP(MONTH(B205),'03_Lookup'!A:B,2,FALSE)</f>
        <v>Mar</v>
      </c>
      <c r="L205" s="4" t="str">
        <f>IF(C205="","",VLOOKUP(MONTH(C205),'03_Lookup'!A:B,2,FALSE))</f>
        <v/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5" x14ac:dyDescent="0.25">
      <c r="A206" s="5">
        <v>203</v>
      </c>
      <c r="B206" s="6">
        <v>45378</v>
      </c>
      <c r="C206" s="6">
        <v>45383</v>
      </c>
      <c r="D206" s="4" t="s">
        <v>50</v>
      </c>
      <c r="E206" s="4" t="s">
        <v>46</v>
      </c>
      <c r="F206" s="4" t="s">
        <v>49</v>
      </c>
      <c r="G206" s="4" t="s">
        <v>135</v>
      </c>
      <c r="H206" s="5">
        <v>120</v>
      </c>
      <c r="I206" s="4">
        <f t="shared" si="0"/>
        <v>13</v>
      </c>
      <c r="J206" s="4">
        <f t="shared" si="1"/>
        <v>14</v>
      </c>
      <c r="K206" s="4" t="str">
        <f>VLOOKUP(MONTH(B206),'03_Lookup'!A:B,2,FALSE)</f>
        <v>Mar</v>
      </c>
      <c r="L206" s="4" t="str">
        <f>IF(C206="","",VLOOKUP(MONTH(C206),'03_Lookup'!A:B,2,FALSE))</f>
        <v>Apr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5" x14ac:dyDescent="0.25">
      <c r="A207" s="5">
        <v>204</v>
      </c>
      <c r="B207" s="6">
        <v>45357</v>
      </c>
      <c r="C207" s="6">
        <v>45366</v>
      </c>
      <c r="D207" s="4" t="s">
        <v>50</v>
      </c>
      <c r="E207" s="4" t="s">
        <v>48</v>
      </c>
      <c r="F207" s="4" t="s">
        <v>47</v>
      </c>
      <c r="G207" s="4" t="s">
        <v>136</v>
      </c>
      <c r="H207" s="5">
        <v>216</v>
      </c>
      <c r="I207" s="4">
        <f t="shared" si="0"/>
        <v>10</v>
      </c>
      <c r="J207" s="4">
        <f t="shared" si="1"/>
        <v>11</v>
      </c>
      <c r="K207" s="4" t="str">
        <f>VLOOKUP(MONTH(B207),'03_Lookup'!A:B,2,FALSE)</f>
        <v>Mar</v>
      </c>
      <c r="L207" s="4" t="str">
        <f>IF(C207="","",VLOOKUP(MONTH(C207),'03_Lookup'!A:B,2,FALSE))</f>
        <v>Mar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5" x14ac:dyDescent="0.25">
      <c r="A208" s="5">
        <v>205</v>
      </c>
      <c r="B208" s="6">
        <v>45315</v>
      </c>
      <c r="C208" s="4" t="s">
        <v>44</v>
      </c>
      <c r="D208" s="4" t="s">
        <v>45</v>
      </c>
      <c r="E208" s="4" t="s">
        <v>46</v>
      </c>
      <c r="F208" s="4" t="s">
        <v>47</v>
      </c>
      <c r="G208" s="4" t="s">
        <v>135</v>
      </c>
      <c r="H208" s="4" t="s">
        <v>44</v>
      </c>
      <c r="I208" s="4">
        <f t="shared" si="0"/>
        <v>4</v>
      </c>
      <c r="J208" s="4" t="str">
        <f t="shared" si="1"/>
        <v/>
      </c>
      <c r="K208" s="4" t="str">
        <f>VLOOKUP(MONTH(B208),'03_Lookup'!A:B,2,FALSE)</f>
        <v>Jan</v>
      </c>
      <c r="L208" s="4" t="str">
        <f>IF(C208="","",VLOOKUP(MONTH(C208),'03_Lookup'!A:B,2,FALSE))</f>
        <v/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5" x14ac:dyDescent="0.25">
      <c r="A209" s="5">
        <v>206</v>
      </c>
      <c r="B209" s="6">
        <v>45338</v>
      </c>
      <c r="C209" s="6">
        <v>45339</v>
      </c>
      <c r="D209" s="4" t="s">
        <v>50</v>
      </c>
      <c r="E209" s="4" t="s">
        <v>46</v>
      </c>
      <c r="F209" s="4" t="s">
        <v>51</v>
      </c>
      <c r="G209" s="4" t="s">
        <v>135</v>
      </c>
      <c r="H209" s="5">
        <v>24</v>
      </c>
      <c r="I209" s="4">
        <f t="shared" si="0"/>
        <v>7</v>
      </c>
      <c r="J209" s="4">
        <f t="shared" si="1"/>
        <v>7</v>
      </c>
      <c r="K209" s="4" t="str">
        <f>VLOOKUP(MONTH(B209),'03_Lookup'!A:B,2,FALSE)</f>
        <v>Feb</v>
      </c>
      <c r="L209" s="4" t="str">
        <f>IF(C209="","",VLOOKUP(MONTH(C209),'03_Lookup'!A:B,2,FALSE))</f>
        <v>Feb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5" x14ac:dyDescent="0.25">
      <c r="A210" s="5">
        <v>207</v>
      </c>
      <c r="B210" s="6">
        <v>45364</v>
      </c>
      <c r="C210" s="6">
        <v>45368</v>
      </c>
      <c r="D210" s="4" t="s">
        <v>50</v>
      </c>
      <c r="E210" s="4" t="s">
        <v>46</v>
      </c>
      <c r="F210" s="4" t="s">
        <v>47</v>
      </c>
      <c r="G210" s="4" t="s">
        <v>136</v>
      </c>
      <c r="H210" s="5">
        <v>96</v>
      </c>
      <c r="I210" s="4">
        <f t="shared" si="0"/>
        <v>11</v>
      </c>
      <c r="J210" s="4">
        <f t="shared" si="1"/>
        <v>11</v>
      </c>
      <c r="K210" s="4" t="str">
        <f>VLOOKUP(MONTH(B210),'03_Lookup'!A:B,2,FALSE)</f>
        <v>Mar</v>
      </c>
      <c r="L210" s="4" t="str">
        <f>IF(C210="","",VLOOKUP(MONTH(C210),'03_Lookup'!A:B,2,FALSE))</f>
        <v>Mar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5" x14ac:dyDescent="0.25">
      <c r="A211" s="5">
        <v>208</v>
      </c>
      <c r="B211" s="6">
        <v>45355</v>
      </c>
      <c r="C211" s="6">
        <v>45360</v>
      </c>
      <c r="D211" s="4" t="s">
        <v>50</v>
      </c>
      <c r="E211" s="4" t="s">
        <v>46</v>
      </c>
      <c r="F211" s="4" t="s">
        <v>51</v>
      </c>
      <c r="G211" s="4" t="s">
        <v>135</v>
      </c>
      <c r="H211" s="5">
        <v>120</v>
      </c>
      <c r="I211" s="4">
        <f t="shared" si="0"/>
        <v>10</v>
      </c>
      <c r="J211" s="4">
        <f t="shared" si="1"/>
        <v>10</v>
      </c>
      <c r="K211" s="4" t="str">
        <f>VLOOKUP(MONTH(B211),'03_Lookup'!A:B,2,FALSE)</f>
        <v>Mar</v>
      </c>
      <c r="L211" s="4" t="str">
        <f>IF(C211="","",VLOOKUP(MONTH(C211),'03_Lookup'!A:B,2,FALSE))</f>
        <v>Mar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5" x14ac:dyDescent="0.25">
      <c r="A212" s="5">
        <v>209</v>
      </c>
      <c r="B212" s="6">
        <v>45327</v>
      </c>
      <c r="C212" s="4" t="s">
        <v>44</v>
      </c>
      <c r="D212" s="4" t="s">
        <v>45</v>
      </c>
      <c r="E212" s="4" t="s">
        <v>46</v>
      </c>
      <c r="F212" s="4" t="s">
        <v>49</v>
      </c>
      <c r="G212" s="4" t="s">
        <v>136</v>
      </c>
      <c r="H212" s="4" t="s">
        <v>44</v>
      </c>
      <c r="I212" s="4">
        <f t="shared" si="0"/>
        <v>6</v>
      </c>
      <c r="J212" s="4" t="str">
        <f t="shared" si="1"/>
        <v/>
      </c>
      <c r="K212" s="4" t="str">
        <f>VLOOKUP(MONTH(B212),'03_Lookup'!A:B,2,FALSE)</f>
        <v>Feb</v>
      </c>
      <c r="L212" s="4" t="str">
        <f>IF(C212="","",VLOOKUP(MONTH(C212),'03_Lookup'!A:B,2,FALSE))</f>
        <v/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5" x14ac:dyDescent="0.25">
      <c r="A213" s="5">
        <v>210</v>
      </c>
      <c r="B213" s="6">
        <v>45323</v>
      </c>
      <c r="C213" s="6">
        <v>45328</v>
      </c>
      <c r="D213" s="4" t="s">
        <v>50</v>
      </c>
      <c r="E213" s="4" t="s">
        <v>46</v>
      </c>
      <c r="F213" s="4" t="s">
        <v>47</v>
      </c>
      <c r="G213" s="4" t="s">
        <v>136</v>
      </c>
      <c r="H213" s="5">
        <v>120</v>
      </c>
      <c r="I213" s="4">
        <f t="shared" si="0"/>
        <v>5</v>
      </c>
      <c r="J213" s="4">
        <f t="shared" si="1"/>
        <v>6</v>
      </c>
      <c r="K213" s="4" t="str">
        <f>VLOOKUP(MONTH(B213),'03_Lookup'!A:B,2,FALSE)</f>
        <v>Feb</v>
      </c>
      <c r="L213" s="4" t="str">
        <f>IF(C213="","",VLOOKUP(MONTH(C213),'03_Lookup'!A:B,2,FALSE))</f>
        <v>Feb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5" x14ac:dyDescent="0.25">
      <c r="A214" s="5">
        <v>211</v>
      </c>
      <c r="B214" s="6">
        <v>45359</v>
      </c>
      <c r="C214" s="6">
        <v>45363</v>
      </c>
      <c r="D214" s="4" t="s">
        <v>50</v>
      </c>
      <c r="E214" s="4" t="s">
        <v>48</v>
      </c>
      <c r="F214" s="4" t="s">
        <v>47</v>
      </c>
      <c r="G214" s="4" t="s">
        <v>136</v>
      </c>
      <c r="H214" s="5">
        <v>96</v>
      </c>
      <c r="I214" s="4">
        <f t="shared" si="0"/>
        <v>10</v>
      </c>
      <c r="J214" s="4">
        <f t="shared" si="1"/>
        <v>11</v>
      </c>
      <c r="K214" s="4" t="str">
        <f>VLOOKUP(MONTH(B214),'03_Lookup'!A:B,2,FALSE)</f>
        <v>Mar</v>
      </c>
      <c r="L214" s="4" t="str">
        <f>IF(C214="","",VLOOKUP(MONTH(C214),'03_Lookup'!A:B,2,FALSE))</f>
        <v>Mar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5" x14ac:dyDescent="0.25">
      <c r="A215" s="5">
        <v>212</v>
      </c>
      <c r="B215" s="6">
        <v>45361</v>
      </c>
      <c r="C215" s="4" t="s">
        <v>44</v>
      </c>
      <c r="D215" s="4" t="s">
        <v>45</v>
      </c>
      <c r="E215" s="4" t="s">
        <v>48</v>
      </c>
      <c r="F215" s="4" t="s">
        <v>47</v>
      </c>
      <c r="G215" s="4" t="s">
        <v>135</v>
      </c>
      <c r="H215" s="4" t="s">
        <v>44</v>
      </c>
      <c r="I215" s="4">
        <f t="shared" si="0"/>
        <v>10</v>
      </c>
      <c r="J215" s="4" t="str">
        <f t="shared" si="1"/>
        <v/>
      </c>
      <c r="K215" s="4" t="str">
        <f>VLOOKUP(MONTH(B215),'03_Lookup'!A:B,2,FALSE)</f>
        <v>Mar</v>
      </c>
      <c r="L215" s="4" t="str">
        <f>IF(C215="","",VLOOKUP(MONTH(C215),'03_Lookup'!A:B,2,FALSE))</f>
        <v/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5" x14ac:dyDescent="0.25">
      <c r="A216" s="5">
        <v>213</v>
      </c>
      <c r="B216" s="6">
        <v>45377</v>
      </c>
      <c r="C216" s="4" t="s">
        <v>44</v>
      </c>
      <c r="D216" s="4" t="s">
        <v>45</v>
      </c>
      <c r="E216" s="4" t="s">
        <v>48</v>
      </c>
      <c r="F216" s="4" t="s">
        <v>49</v>
      </c>
      <c r="G216" s="4" t="s">
        <v>136</v>
      </c>
      <c r="H216" s="4" t="s">
        <v>44</v>
      </c>
      <c r="I216" s="4">
        <f t="shared" si="0"/>
        <v>13</v>
      </c>
      <c r="J216" s="4" t="str">
        <f t="shared" si="1"/>
        <v/>
      </c>
      <c r="K216" s="4" t="str">
        <f>VLOOKUP(MONTH(B216),'03_Lookup'!A:B,2,FALSE)</f>
        <v>Mar</v>
      </c>
      <c r="L216" s="4" t="str">
        <f>IF(C216="","",VLOOKUP(MONTH(C216),'03_Lookup'!A:B,2,FALSE))</f>
        <v/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5" x14ac:dyDescent="0.25">
      <c r="A217" s="5">
        <v>214</v>
      </c>
      <c r="B217" s="6">
        <v>45304</v>
      </c>
      <c r="C217" s="4" t="s">
        <v>44</v>
      </c>
      <c r="D217" s="4" t="s">
        <v>45</v>
      </c>
      <c r="E217" s="4" t="s">
        <v>48</v>
      </c>
      <c r="F217" s="4" t="s">
        <v>51</v>
      </c>
      <c r="G217" s="4" t="s">
        <v>136</v>
      </c>
      <c r="H217" s="4" t="s">
        <v>44</v>
      </c>
      <c r="I217" s="4">
        <f t="shared" si="0"/>
        <v>2</v>
      </c>
      <c r="J217" s="4" t="str">
        <f t="shared" si="1"/>
        <v/>
      </c>
      <c r="K217" s="4" t="str">
        <f>VLOOKUP(MONTH(B217),'03_Lookup'!A:B,2,FALSE)</f>
        <v>Jan</v>
      </c>
      <c r="L217" s="4" t="str">
        <f>IF(C217="","",VLOOKUP(MONTH(C217),'03_Lookup'!A:B,2,FALSE))</f>
        <v/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5" x14ac:dyDescent="0.25">
      <c r="A218" s="5">
        <v>215</v>
      </c>
      <c r="B218" s="6">
        <v>45318</v>
      </c>
      <c r="C218" s="4" t="s">
        <v>44</v>
      </c>
      <c r="D218" s="4" t="s">
        <v>45</v>
      </c>
      <c r="E218" s="4" t="s">
        <v>46</v>
      </c>
      <c r="F218" s="4" t="s">
        <v>47</v>
      </c>
      <c r="G218" s="4" t="s">
        <v>135</v>
      </c>
      <c r="H218" s="4" t="s">
        <v>44</v>
      </c>
      <c r="I218" s="4">
        <f t="shared" si="0"/>
        <v>4</v>
      </c>
      <c r="J218" s="4" t="str">
        <f t="shared" si="1"/>
        <v/>
      </c>
      <c r="K218" s="4" t="str">
        <f>VLOOKUP(MONTH(B218),'03_Lookup'!A:B,2,FALSE)</f>
        <v>Jan</v>
      </c>
      <c r="L218" s="4" t="str">
        <f>IF(C218="","",VLOOKUP(MONTH(C218),'03_Lookup'!A:B,2,FALSE))</f>
        <v/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5" x14ac:dyDescent="0.25">
      <c r="A219" s="5">
        <v>216</v>
      </c>
      <c r="B219" s="6">
        <v>45315</v>
      </c>
      <c r="C219" s="6">
        <v>45317</v>
      </c>
      <c r="D219" s="4" t="s">
        <v>50</v>
      </c>
      <c r="E219" s="4" t="s">
        <v>46</v>
      </c>
      <c r="F219" s="4" t="s">
        <v>47</v>
      </c>
      <c r="G219" s="4" t="s">
        <v>135</v>
      </c>
      <c r="H219" s="5">
        <v>48</v>
      </c>
      <c r="I219" s="4">
        <f t="shared" si="0"/>
        <v>4</v>
      </c>
      <c r="J219" s="4">
        <f t="shared" si="1"/>
        <v>4</v>
      </c>
      <c r="K219" s="4" t="str">
        <f>VLOOKUP(MONTH(B219),'03_Lookup'!A:B,2,FALSE)</f>
        <v>Jan</v>
      </c>
      <c r="L219" s="4" t="str">
        <f>IF(C219="","",VLOOKUP(MONTH(C219),'03_Lookup'!A:B,2,FALSE))</f>
        <v>Jan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5" x14ac:dyDescent="0.25">
      <c r="A220" s="5">
        <v>217</v>
      </c>
      <c r="B220" s="6">
        <v>45365</v>
      </c>
      <c r="C220" s="6">
        <v>45373</v>
      </c>
      <c r="D220" s="4" t="s">
        <v>50</v>
      </c>
      <c r="E220" s="4" t="s">
        <v>46</v>
      </c>
      <c r="F220" s="4" t="s">
        <v>47</v>
      </c>
      <c r="G220" s="4" t="s">
        <v>136</v>
      </c>
      <c r="H220" s="5">
        <v>192</v>
      </c>
      <c r="I220" s="4">
        <f t="shared" si="0"/>
        <v>11</v>
      </c>
      <c r="J220" s="4">
        <f t="shared" si="1"/>
        <v>12</v>
      </c>
      <c r="K220" s="4" t="str">
        <f>VLOOKUP(MONTH(B220),'03_Lookup'!A:B,2,FALSE)</f>
        <v>Mar</v>
      </c>
      <c r="L220" s="4" t="str">
        <f>IF(C220="","",VLOOKUP(MONTH(C220),'03_Lookup'!A:B,2,FALSE))</f>
        <v>Mar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5" x14ac:dyDescent="0.25">
      <c r="A221" s="5">
        <v>218</v>
      </c>
      <c r="B221" s="6">
        <v>45337</v>
      </c>
      <c r="C221" s="6">
        <v>45343</v>
      </c>
      <c r="D221" s="4" t="s">
        <v>50</v>
      </c>
      <c r="E221" s="4" t="s">
        <v>48</v>
      </c>
      <c r="F221" s="4" t="s">
        <v>49</v>
      </c>
      <c r="G221" s="4" t="s">
        <v>135</v>
      </c>
      <c r="H221" s="5">
        <v>144</v>
      </c>
      <c r="I221" s="4">
        <f t="shared" si="0"/>
        <v>7</v>
      </c>
      <c r="J221" s="4">
        <f t="shared" si="1"/>
        <v>8</v>
      </c>
      <c r="K221" s="4" t="str">
        <f>VLOOKUP(MONTH(B221),'03_Lookup'!A:B,2,FALSE)</f>
        <v>Feb</v>
      </c>
      <c r="L221" s="4" t="str">
        <f>IF(C221="","",VLOOKUP(MONTH(C221),'03_Lookup'!A:B,2,FALSE))</f>
        <v>Feb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5" x14ac:dyDescent="0.25">
      <c r="A222" s="5">
        <v>219</v>
      </c>
      <c r="B222" s="6">
        <v>45348</v>
      </c>
      <c r="C222" s="4" t="s">
        <v>44</v>
      </c>
      <c r="D222" s="4" t="s">
        <v>45</v>
      </c>
      <c r="E222" s="4" t="s">
        <v>46</v>
      </c>
      <c r="F222" s="4" t="s">
        <v>47</v>
      </c>
      <c r="G222" s="4" t="s">
        <v>136</v>
      </c>
      <c r="H222" s="4" t="s">
        <v>44</v>
      </c>
      <c r="I222" s="4">
        <f t="shared" si="0"/>
        <v>9</v>
      </c>
      <c r="J222" s="4" t="str">
        <f t="shared" si="1"/>
        <v/>
      </c>
      <c r="K222" s="4" t="str">
        <f>VLOOKUP(MONTH(B222),'03_Lookup'!A:B,2,FALSE)</f>
        <v>Feb</v>
      </c>
      <c r="L222" s="4" t="str">
        <f>IF(C222="","",VLOOKUP(MONTH(C222),'03_Lookup'!A:B,2,FALSE))</f>
        <v/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5" x14ac:dyDescent="0.25">
      <c r="A223" s="5">
        <v>220</v>
      </c>
      <c r="B223" s="6">
        <v>45347</v>
      </c>
      <c r="C223" s="4" t="s">
        <v>44</v>
      </c>
      <c r="D223" s="4" t="s">
        <v>45</v>
      </c>
      <c r="E223" s="4" t="s">
        <v>46</v>
      </c>
      <c r="F223" s="4" t="s">
        <v>47</v>
      </c>
      <c r="G223" s="4" t="s">
        <v>136</v>
      </c>
      <c r="H223" s="4" t="s">
        <v>44</v>
      </c>
      <c r="I223" s="4">
        <f t="shared" si="0"/>
        <v>8</v>
      </c>
      <c r="J223" s="4" t="str">
        <f t="shared" si="1"/>
        <v/>
      </c>
      <c r="K223" s="4" t="str">
        <f>VLOOKUP(MONTH(B223),'03_Lookup'!A:B,2,FALSE)</f>
        <v>Feb</v>
      </c>
      <c r="L223" s="4" t="str">
        <f>IF(C223="","",VLOOKUP(MONTH(C223),'03_Lookup'!A:B,2,FALSE))</f>
        <v/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5" x14ac:dyDescent="0.25">
      <c r="A224" s="5">
        <v>221</v>
      </c>
      <c r="B224" s="6">
        <v>45363</v>
      </c>
      <c r="C224" s="4" t="s">
        <v>44</v>
      </c>
      <c r="D224" s="4" t="s">
        <v>45</v>
      </c>
      <c r="E224" s="4" t="s">
        <v>46</v>
      </c>
      <c r="F224" s="4" t="s">
        <v>47</v>
      </c>
      <c r="G224" s="4" t="s">
        <v>135</v>
      </c>
      <c r="H224" s="4" t="s">
        <v>44</v>
      </c>
      <c r="I224" s="4">
        <f t="shared" si="0"/>
        <v>11</v>
      </c>
      <c r="J224" s="4" t="str">
        <f t="shared" si="1"/>
        <v/>
      </c>
      <c r="K224" s="4" t="str">
        <f>VLOOKUP(MONTH(B224),'03_Lookup'!A:B,2,FALSE)</f>
        <v>Mar</v>
      </c>
      <c r="L224" s="4" t="str">
        <f>IF(C224="","",VLOOKUP(MONTH(C224),'03_Lookup'!A:B,2,FALSE))</f>
        <v/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5" x14ac:dyDescent="0.25">
      <c r="A225" s="5">
        <v>222</v>
      </c>
      <c r="B225" s="6">
        <v>45371</v>
      </c>
      <c r="C225" s="4" t="s">
        <v>44</v>
      </c>
      <c r="D225" s="4" t="s">
        <v>45</v>
      </c>
      <c r="E225" s="4" t="s">
        <v>46</v>
      </c>
      <c r="F225" s="4" t="s">
        <v>49</v>
      </c>
      <c r="G225" s="4" t="s">
        <v>136</v>
      </c>
      <c r="H225" s="4" t="s">
        <v>44</v>
      </c>
      <c r="I225" s="4">
        <f t="shared" si="0"/>
        <v>12</v>
      </c>
      <c r="J225" s="4" t="str">
        <f t="shared" si="1"/>
        <v/>
      </c>
      <c r="K225" s="4" t="str">
        <f>VLOOKUP(MONTH(B225),'03_Lookup'!A:B,2,FALSE)</f>
        <v>Mar</v>
      </c>
      <c r="L225" s="4" t="str">
        <f>IF(C225="","",VLOOKUP(MONTH(C225),'03_Lookup'!A:B,2,FALSE))</f>
        <v/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5" x14ac:dyDescent="0.25">
      <c r="A226" s="5">
        <v>223</v>
      </c>
      <c r="B226" s="6">
        <v>45351</v>
      </c>
      <c r="C226" s="4" t="s">
        <v>44</v>
      </c>
      <c r="D226" s="4" t="s">
        <v>45</v>
      </c>
      <c r="E226" s="4" t="s">
        <v>48</v>
      </c>
      <c r="F226" s="4" t="s">
        <v>47</v>
      </c>
      <c r="G226" s="4" t="s">
        <v>136</v>
      </c>
      <c r="H226" s="4" t="s">
        <v>44</v>
      </c>
      <c r="I226" s="4">
        <f t="shared" si="0"/>
        <v>9</v>
      </c>
      <c r="J226" s="4" t="str">
        <f t="shared" si="1"/>
        <v/>
      </c>
      <c r="K226" s="4" t="str">
        <f>VLOOKUP(MONTH(B226),'03_Lookup'!A:B,2,FALSE)</f>
        <v>Feb</v>
      </c>
      <c r="L226" s="4" t="str">
        <f>IF(C226="","",VLOOKUP(MONTH(C226),'03_Lookup'!A:B,2,FALSE))</f>
        <v/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5" x14ac:dyDescent="0.25">
      <c r="A227" s="5">
        <v>224</v>
      </c>
      <c r="B227" s="6">
        <v>45370</v>
      </c>
      <c r="C227" s="4" t="s">
        <v>44</v>
      </c>
      <c r="D227" s="4" t="s">
        <v>45</v>
      </c>
      <c r="E227" s="4" t="s">
        <v>46</v>
      </c>
      <c r="F227" s="4" t="s">
        <v>47</v>
      </c>
      <c r="G227" s="4" t="s">
        <v>135</v>
      </c>
      <c r="H227" s="4" t="s">
        <v>44</v>
      </c>
      <c r="I227" s="4">
        <f t="shared" si="0"/>
        <v>12</v>
      </c>
      <c r="J227" s="4" t="str">
        <f t="shared" si="1"/>
        <v/>
      </c>
      <c r="K227" s="4" t="str">
        <f>VLOOKUP(MONTH(B227),'03_Lookup'!A:B,2,FALSE)</f>
        <v>Mar</v>
      </c>
      <c r="L227" s="4" t="str">
        <f>IF(C227="","",VLOOKUP(MONTH(C227),'03_Lookup'!A:B,2,FALSE))</f>
        <v/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5" x14ac:dyDescent="0.25">
      <c r="A228" s="5">
        <v>225</v>
      </c>
      <c r="B228" s="6">
        <v>45303</v>
      </c>
      <c r="C228" s="7"/>
      <c r="D228" s="4" t="s">
        <v>45</v>
      </c>
      <c r="E228" s="4" t="s">
        <v>46</v>
      </c>
      <c r="F228" s="4" t="s">
        <v>49</v>
      </c>
      <c r="G228" s="4" t="s">
        <v>135</v>
      </c>
      <c r="H228" s="4"/>
      <c r="I228" s="4">
        <f t="shared" si="0"/>
        <v>2</v>
      </c>
      <c r="J228" s="4" t="str">
        <f t="shared" si="1"/>
        <v/>
      </c>
      <c r="K228" s="4" t="str">
        <f>VLOOKUP(MONTH(B228),'03_Lookup'!A:B,2,FALSE)</f>
        <v>Jan</v>
      </c>
      <c r="L228" s="4" t="str">
        <f>IF(C228="","",VLOOKUP(MONTH(C228),'03_Lookup'!A:B,2,FALSE))</f>
        <v/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5" x14ac:dyDescent="0.25">
      <c r="A229" s="5">
        <v>226</v>
      </c>
      <c r="B229" s="6">
        <v>45357</v>
      </c>
      <c r="C229" s="4" t="s">
        <v>44</v>
      </c>
      <c r="D229" s="4" t="s">
        <v>45</v>
      </c>
      <c r="E229" s="4" t="s">
        <v>46</v>
      </c>
      <c r="F229" s="4" t="s">
        <v>51</v>
      </c>
      <c r="G229" s="4" t="s">
        <v>136</v>
      </c>
      <c r="H229" s="4" t="s">
        <v>44</v>
      </c>
      <c r="I229" s="4">
        <f t="shared" si="0"/>
        <v>10</v>
      </c>
      <c r="J229" s="4" t="str">
        <f t="shared" si="1"/>
        <v/>
      </c>
      <c r="K229" s="4" t="str">
        <f>VLOOKUP(MONTH(B229),'03_Lookup'!A:B,2,FALSE)</f>
        <v>Mar</v>
      </c>
      <c r="L229" s="4" t="str">
        <f>IF(C229="","",VLOOKUP(MONTH(C229),'03_Lookup'!A:B,2,FALSE))</f>
        <v/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5" x14ac:dyDescent="0.25">
      <c r="A230" s="5">
        <v>227</v>
      </c>
      <c r="B230" s="6">
        <v>45317</v>
      </c>
      <c r="C230" s="4" t="s">
        <v>44</v>
      </c>
      <c r="D230" s="4" t="s">
        <v>45</v>
      </c>
      <c r="E230" s="4" t="s">
        <v>46</v>
      </c>
      <c r="F230" s="4" t="s">
        <v>47</v>
      </c>
      <c r="G230" s="4" t="s">
        <v>135</v>
      </c>
      <c r="H230" s="4" t="s">
        <v>44</v>
      </c>
      <c r="I230" s="4">
        <f t="shared" si="0"/>
        <v>4</v>
      </c>
      <c r="J230" s="4" t="str">
        <f t="shared" si="1"/>
        <v/>
      </c>
      <c r="K230" s="4" t="str">
        <f>VLOOKUP(MONTH(B230),'03_Lookup'!A:B,2,FALSE)</f>
        <v>Jan</v>
      </c>
      <c r="L230" s="4" t="str">
        <f>IF(C230="","",VLOOKUP(MONTH(C230),'03_Lookup'!A:B,2,FALSE))</f>
        <v/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5" x14ac:dyDescent="0.25">
      <c r="A231" s="5">
        <v>228</v>
      </c>
      <c r="B231" s="6">
        <v>45368</v>
      </c>
      <c r="C231" s="6">
        <v>45373</v>
      </c>
      <c r="D231" s="4" t="s">
        <v>50</v>
      </c>
      <c r="E231" s="4" t="s">
        <v>48</v>
      </c>
      <c r="F231" s="4" t="s">
        <v>47</v>
      </c>
      <c r="G231" s="4" t="s">
        <v>135</v>
      </c>
      <c r="H231" s="5">
        <v>120</v>
      </c>
      <c r="I231" s="4">
        <f t="shared" si="0"/>
        <v>11</v>
      </c>
      <c r="J231" s="4">
        <f t="shared" si="1"/>
        <v>12</v>
      </c>
      <c r="K231" s="4" t="str">
        <f>VLOOKUP(MONTH(B231),'03_Lookup'!A:B,2,FALSE)</f>
        <v>Mar</v>
      </c>
      <c r="L231" s="4" t="str">
        <f>IF(C231="","",VLOOKUP(MONTH(C231),'03_Lookup'!A:B,2,FALSE))</f>
        <v>Mar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5" x14ac:dyDescent="0.25">
      <c r="A232" s="5">
        <v>229</v>
      </c>
      <c r="B232" s="6">
        <v>45345</v>
      </c>
      <c r="C232" s="4" t="s">
        <v>44</v>
      </c>
      <c r="D232" s="4" t="s">
        <v>45</v>
      </c>
      <c r="E232" s="4" t="s">
        <v>46</v>
      </c>
      <c r="F232" s="4" t="s">
        <v>51</v>
      </c>
      <c r="G232" s="4" t="s">
        <v>136</v>
      </c>
      <c r="H232" s="4" t="s">
        <v>44</v>
      </c>
      <c r="I232" s="4">
        <f t="shared" si="0"/>
        <v>8</v>
      </c>
      <c r="J232" s="4" t="str">
        <f t="shared" si="1"/>
        <v/>
      </c>
      <c r="K232" s="4" t="str">
        <f>VLOOKUP(MONTH(B232),'03_Lookup'!A:B,2,FALSE)</f>
        <v>Feb</v>
      </c>
      <c r="L232" s="4" t="str">
        <f>IF(C232="","",VLOOKUP(MONTH(C232),'03_Lookup'!A:B,2,FALSE))</f>
        <v/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5" x14ac:dyDescent="0.25">
      <c r="A233" s="5">
        <v>230</v>
      </c>
      <c r="B233" s="6">
        <v>45334</v>
      </c>
      <c r="C233" s="4" t="s">
        <v>44</v>
      </c>
      <c r="D233" s="4" t="s">
        <v>45</v>
      </c>
      <c r="E233" s="4" t="s">
        <v>48</v>
      </c>
      <c r="F233" s="4" t="s">
        <v>47</v>
      </c>
      <c r="G233" s="4" t="s">
        <v>135</v>
      </c>
      <c r="H233" s="4" t="s">
        <v>44</v>
      </c>
      <c r="I233" s="4">
        <f t="shared" si="0"/>
        <v>7</v>
      </c>
      <c r="J233" s="4" t="str">
        <f t="shared" si="1"/>
        <v/>
      </c>
      <c r="K233" s="4" t="str">
        <f>VLOOKUP(MONTH(B233),'03_Lookup'!A:B,2,FALSE)</f>
        <v>Feb</v>
      </c>
      <c r="L233" s="4" t="str">
        <f>IF(C233="","",VLOOKUP(MONTH(C233),'03_Lookup'!A:B,2,FALSE))</f>
        <v/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5" x14ac:dyDescent="0.25">
      <c r="A234" s="5">
        <v>231</v>
      </c>
      <c r="B234" s="6">
        <v>45378</v>
      </c>
      <c r="C234" s="6">
        <v>45381</v>
      </c>
      <c r="D234" s="4" t="s">
        <v>50</v>
      </c>
      <c r="E234" s="4" t="s">
        <v>46</v>
      </c>
      <c r="F234" s="4" t="s">
        <v>47</v>
      </c>
      <c r="G234" s="4" t="s">
        <v>136</v>
      </c>
      <c r="H234" s="5">
        <v>72</v>
      </c>
      <c r="I234" s="4">
        <f t="shared" si="0"/>
        <v>13</v>
      </c>
      <c r="J234" s="4">
        <f t="shared" si="1"/>
        <v>13</v>
      </c>
      <c r="K234" s="4" t="str">
        <f>VLOOKUP(MONTH(B234),'03_Lookup'!A:B,2,FALSE)</f>
        <v>Mar</v>
      </c>
      <c r="L234" s="4" t="str">
        <f>IF(C234="","",VLOOKUP(MONTH(C234),'03_Lookup'!A:B,2,FALSE))</f>
        <v>Mar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5" x14ac:dyDescent="0.25">
      <c r="A235" s="5">
        <v>232</v>
      </c>
      <c r="B235" s="6">
        <v>45295</v>
      </c>
      <c r="C235" s="6">
        <v>45299</v>
      </c>
      <c r="D235" s="4" t="s">
        <v>50</v>
      </c>
      <c r="E235" s="4" t="s">
        <v>46</v>
      </c>
      <c r="F235" s="4" t="s">
        <v>47</v>
      </c>
      <c r="G235" s="4" t="s">
        <v>136</v>
      </c>
      <c r="H235" s="5">
        <v>96</v>
      </c>
      <c r="I235" s="4">
        <f t="shared" si="0"/>
        <v>1</v>
      </c>
      <c r="J235" s="4">
        <f t="shared" si="1"/>
        <v>2</v>
      </c>
      <c r="K235" s="4" t="str">
        <f>VLOOKUP(MONTH(B235),'03_Lookup'!A:B,2,FALSE)</f>
        <v>Jan</v>
      </c>
      <c r="L235" s="4" t="str">
        <f>IF(C235="","",VLOOKUP(MONTH(C235),'03_Lookup'!A:B,2,FALSE))</f>
        <v>Jan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5" x14ac:dyDescent="0.25">
      <c r="A236" s="5">
        <v>233</v>
      </c>
      <c r="B236" s="6">
        <v>45325</v>
      </c>
      <c r="C236" s="4" t="s">
        <v>44</v>
      </c>
      <c r="D236" s="4" t="s">
        <v>45</v>
      </c>
      <c r="E236" s="4" t="s">
        <v>48</v>
      </c>
      <c r="F236" s="4" t="s">
        <v>47</v>
      </c>
      <c r="G236" s="4" t="s">
        <v>135</v>
      </c>
      <c r="H236" s="4" t="s">
        <v>44</v>
      </c>
      <c r="I236" s="4">
        <f t="shared" si="0"/>
        <v>5</v>
      </c>
      <c r="J236" s="4" t="str">
        <f t="shared" si="1"/>
        <v/>
      </c>
      <c r="K236" s="4" t="str">
        <f>VLOOKUP(MONTH(B236),'03_Lookup'!A:B,2,FALSE)</f>
        <v>Feb</v>
      </c>
      <c r="L236" s="4" t="str">
        <f>IF(C236="","",VLOOKUP(MONTH(C236),'03_Lookup'!A:B,2,FALSE))</f>
        <v/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5" x14ac:dyDescent="0.25">
      <c r="A237" s="5">
        <v>234</v>
      </c>
      <c r="B237" s="6">
        <v>45358</v>
      </c>
      <c r="C237" s="6">
        <v>45368</v>
      </c>
      <c r="D237" s="4" t="s">
        <v>50</v>
      </c>
      <c r="E237" s="4" t="s">
        <v>46</v>
      </c>
      <c r="F237" s="4" t="s">
        <v>47</v>
      </c>
      <c r="G237" s="4" t="s">
        <v>136</v>
      </c>
      <c r="H237" s="5">
        <v>240</v>
      </c>
      <c r="I237" s="4">
        <f t="shared" si="0"/>
        <v>10</v>
      </c>
      <c r="J237" s="4">
        <f t="shared" si="1"/>
        <v>11</v>
      </c>
      <c r="K237" s="4" t="str">
        <f>VLOOKUP(MONTH(B237),'03_Lookup'!A:B,2,FALSE)</f>
        <v>Mar</v>
      </c>
      <c r="L237" s="4" t="str">
        <f>IF(C237="","",VLOOKUP(MONTH(C237),'03_Lookup'!A:B,2,FALSE))</f>
        <v>Mar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5" x14ac:dyDescent="0.25">
      <c r="A238" s="5">
        <v>235</v>
      </c>
      <c r="B238" s="6">
        <v>45303</v>
      </c>
      <c r="C238" s="6">
        <v>45308</v>
      </c>
      <c r="D238" s="4" t="s">
        <v>50</v>
      </c>
      <c r="E238" s="4" t="s">
        <v>48</v>
      </c>
      <c r="F238" s="4" t="s">
        <v>47</v>
      </c>
      <c r="G238" s="4" t="s">
        <v>136</v>
      </c>
      <c r="H238" s="5">
        <v>120</v>
      </c>
      <c r="I238" s="4">
        <f t="shared" si="0"/>
        <v>2</v>
      </c>
      <c r="J238" s="4">
        <f t="shared" si="1"/>
        <v>3</v>
      </c>
      <c r="K238" s="4" t="str">
        <f>VLOOKUP(MONTH(B238),'03_Lookup'!A:B,2,FALSE)</f>
        <v>Jan</v>
      </c>
      <c r="L238" s="4" t="str">
        <f>IF(C238="","",VLOOKUP(MONTH(C238),'03_Lookup'!A:B,2,FALSE))</f>
        <v>Jan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5" x14ac:dyDescent="0.25">
      <c r="A239" s="5">
        <v>236</v>
      </c>
      <c r="B239" s="6">
        <v>45344</v>
      </c>
      <c r="C239" s="4" t="s">
        <v>44</v>
      </c>
      <c r="D239" s="4" t="s">
        <v>45</v>
      </c>
      <c r="E239" s="4" t="s">
        <v>46</v>
      </c>
      <c r="F239" s="4" t="s">
        <v>47</v>
      </c>
      <c r="G239" s="4" t="s">
        <v>136</v>
      </c>
      <c r="H239" s="4" t="s">
        <v>44</v>
      </c>
      <c r="I239" s="4">
        <f t="shared" si="0"/>
        <v>8</v>
      </c>
      <c r="J239" s="4" t="str">
        <f t="shared" si="1"/>
        <v/>
      </c>
      <c r="K239" s="4" t="str">
        <f>VLOOKUP(MONTH(B239),'03_Lookup'!A:B,2,FALSE)</f>
        <v>Feb</v>
      </c>
      <c r="L239" s="4" t="str">
        <f>IF(C239="","",VLOOKUP(MONTH(C239),'03_Lookup'!A:B,2,FALSE))</f>
        <v/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5" x14ac:dyDescent="0.25">
      <c r="A240" s="5">
        <v>237</v>
      </c>
      <c r="B240" s="6">
        <v>45323</v>
      </c>
      <c r="C240" s="4" t="s">
        <v>44</v>
      </c>
      <c r="D240" s="4" t="s">
        <v>45</v>
      </c>
      <c r="E240" s="4" t="s">
        <v>48</v>
      </c>
      <c r="F240" s="4" t="s">
        <v>49</v>
      </c>
      <c r="G240" s="4" t="s">
        <v>135</v>
      </c>
      <c r="H240" s="4" t="s">
        <v>44</v>
      </c>
      <c r="I240" s="4">
        <f t="shared" si="0"/>
        <v>5</v>
      </c>
      <c r="J240" s="4" t="str">
        <f t="shared" si="1"/>
        <v/>
      </c>
      <c r="K240" s="4" t="str">
        <f>VLOOKUP(MONTH(B240),'03_Lookup'!A:B,2,FALSE)</f>
        <v>Feb</v>
      </c>
      <c r="L240" s="4" t="str">
        <f>IF(C240="","",VLOOKUP(MONTH(C240),'03_Lookup'!A:B,2,FALSE))</f>
        <v/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5" x14ac:dyDescent="0.25">
      <c r="A241" s="5">
        <v>238</v>
      </c>
      <c r="B241" s="6">
        <v>45308</v>
      </c>
      <c r="C241" s="4" t="s">
        <v>44</v>
      </c>
      <c r="D241" s="4" t="s">
        <v>45</v>
      </c>
      <c r="E241" s="4" t="s">
        <v>46</v>
      </c>
      <c r="F241" s="4" t="s">
        <v>47</v>
      </c>
      <c r="G241" s="4" t="s">
        <v>136</v>
      </c>
      <c r="H241" s="4" t="s">
        <v>44</v>
      </c>
      <c r="I241" s="4">
        <f t="shared" si="0"/>
        <v>3</v>
      </c>
      <c r="J241" s="4" t="str">
        <f t="shared" si="1"/>
        <v/>
      </c>
      <c r="K241" s="4" t="str">
        <f>VLOOKUP(MONTH(B241),'03_Lookup'!A:B,2,FALSE)</f>
        <v>Jan</v>
      </c>
      <c r="L241" s="4" t="str">
        <f>IF(C241="","",VLOOKUP(MONTH(C241),'03_Lookup'!A:B,2,FALSE))</f>
        <v/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5" x14ac:dyDescent="0.25">
      <c r="A242" s="5">
        <v>239</v>
      </c>
      <c r="B242" s="6">
        <v>45368</v>
      </c>
      <c r="C242" s="4" t="s">
        <v>44</v>
      </c>
      <c r="D242" s="4" t="s">
        <v>45</v>
      </c>
      <c r="E242" s="4" t="s">
        <v>48</v>
      </c>
      <c r="F242" s="4" t="s">
        <v>49</v>
      </c>
      <c r="G242" s="4" t="s">
        <v>136</v>
      </c>
      <c r="H242" s="4" t="s">
        <v>44</v>
      </c>
      <c r="I242" s="4">
        <f t="shared" si="0"/>
        <v>11</v>
      </c>
      <c r="J242" s="4" t="str">
        <f t="shared" si="1"/>
        <v/>
      </c>
      <c r="K242" s="4" t="str">
        <f>VLOOKUP(MONTH(B242),'03_Lookup'!A:B,2,FALSE)</f>
        <v>Mar</v>
      </c>
      <c r="L242" s="4" t="str">
        <f>IF(C242="","",VLOOKUP(MONTH(C242),'03_Lookup'!A:B,2,FALSE))</f>
        <v/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5" x14ac:dyDescent="0.25">
      <c r="A243" s="5">
        <v>240</v>
      </c>
      <c r="B243" s="6">
        <v>45327</v>
      </c>
      <c r="C243" s="4" t="s">
        <v>44</v>
      </c>
      <c r="D243" s="4" t="s">
        <v>45</v>
      </c>
      <c r="E243" s="4" t="s">
        <v>46</v>
      </c>
      <c r="F243" s="4" t="s">
        <v>47</v>
      </c>
      <c r="G243" s="4" t="s">
        <v>136</v>
      </c>
      <c r="H243" s="4" t="s">
        <v>44</v>
      </c>
      <c r="I243" s="4">
        <f t="shared" si="0"/>
        <v>6</v>
      </c>
      <c r="J243" s="4" t="str">
        <f t="shared" si="1"/>
        <v/>
      </c>
      <c r="K243" s="4" t="str">
        <f>VLOOKUP(MONTH(B243),'03_Lookup'!A:B,2,FALSE)</f>
        <v>Feb</v>
      </c>
      <c r="L243" s="4" t="str">
        <f>IF(C243="","",VLOOKUP(MONTH(C243),'03_Lookup'!A:B,2,FALSE))</f>
        <v/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5" x14ac:dyDescent="0.25">
      <c r="A244" s="5">
        <v>241</v>
      </c>
      <c r="B244" s="6">
        <v>45326</v>
      </c>
      <c r="C244" s="4" t="s">
        <v>44</v>
      </c>
      <c r="D244" s="4" t="s">
        <v>45</v>
      </c>
      <c r="E244" s="4" t="s">
        <v>46</v>
      </c>
      <c r="F244" s="4" t="s">
        <v>47</v>
      </c>
      <c r="G244" s="4" t="s">
        <v>136</v>
      </c>
      <c r="H244" s="4" t="s">
        <v>44</v>
      </c>
      <c r="I244" s="4">
        <f t="shared" si="0"/>
        <v>5</v>
      </c>
      <c r="J244" s="4" t="str">
        <f t="shared" si="1"/>
        <v/>
      </c>
      <c r="K244" s="4" t="str">
        <f>VLOOKUP(MONTH(B244),'03_Lookup'!A:B,2,FALSE)</f>
        <v>Feb</v>
      </c>
      <c r="L244" s="4" t="str">
        <f>IF(C244="","",VLOOKUP(MONTH(C244),'03_Lookup'!A:B,2,FALSE))</f>
        <v/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5" x14ac:dyDescent="0.25">
      <c r="A245" s="5">
        <v>242</v>
      </c>
      <c r="B245" s="6">
        <v>45329</v>
      </c>
      <c r="C245" s="4" t="s">
        <v>44</v>
      </c>
      <c r="D245" s="4" t="s">
        <v>45</v>
      </c>
      <c r="E245" s="4" t="s">
        <v>48</v>
      </c>
      <c r="F245" s="4" t="s">
        <v>49</v>
      </c>
      <c r="G245" s="4" t="s">
        <v>135</v>
      </c>
      <c r="H245" s="4" t="s">
        <v>44</v>
      </c>
      <c r="I245" s="4">
        <f t="shared" si="0"/>
        <v>6</v>
      </c>
      <c r="J245" s="4" t="str">
        <f t="shared" si="1"/>
        <v/>
      </c>
      <c r="K245" s="4" t="str">
        <f>VLOOKUP(MONTH(B245),'03_Lookup'!A:B,2,FALSE)</f>
        <v>Feb</v>
      </c>
      <c r="L245" s="4" t="str">
        <f>IF(C245="","",VLOOKUP(MONTH(C245),'03_Lookup'!A:B,2,FALSE))</f>
        <v/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5" x14ac:dyDescent="0.25">
      <c r="A246" s="5">
        <v>243</v>
      </c>
      <c r="B246" s="6">
        <v>45360</v>
      </c>
      <c r="C246" s="4" t="s">
        <v>44</v>
      </c>
      <c r="D246" s="4" t="s">
        <v>45</v>
      </c>
      <c r="E246" s="4" t="s">
        <v>48</v>
      </c>
      <c r="F246" s="4" t="s">
        <v>49</v>
      </c>
      <c r="G246" s="4" t="s">
        <v>135</v>
      </c>
      <c r="H246" s="4" t="s">
        <v>44</v>
      </c>
      <c r="I246" s="4">
        <f t="shared" si="0"/>
        <v>10</v>
      </c>
      <c r="J246" s="4" t="str">
        <f t="shared" si="1"/>
        <v/>
      </c>
      <c r="K246" s="4" t="str">
        <f>VLOOKUP(MONTH(B246),'03_Lookup'!A:B,2,FALSE)</f>
        <v>Mar</v>
      </c>
      <c r="L246" s="4" t="str">
        <f>IF(C246="","",VLOOKUP(MONTH(C246),'03_Lookup'!A:B,2,FALSE))</f>
        <v/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5" x14ac:dyDescent="0.25">
      <c r="A247" s="5">
        <v>244</v>
      </c>
      <c r="B247" s="6">
        <v>45321</v>
      </c>
      <c r="C247" s="4" t="s">
        <v>44</v>
      </c>
      <c r="D247" s="4" t="s">
        <v>45</v>
      </c>
      <c r="E247" s="4" t="s">
        <v>46</v>
      </c>
      <c r="F247" s="4" t="s">
        <v>49</v>
      </c>
      <c r="G247" s="4" t="s">
        <v>135</v>
      </c>
      <c r="H247" s="4" t="s">
        <v>44</v>
      </c>
      <c r="I247" s="4">
        <f t="shared" si="0"/>
        <v>5</v>
      </c>
      <c r="J247" s="4" t="str">
        <f t="shared" si="1"/>
        <v/>
      </c>
      <c r="K247" s="4" t="str">
        <f>VLOOKUP(MONTH(B247),'03_Lookup'!A:B,2,FALSE)</f>
        <v>Jan</v>
      </c>
      <c r="L247" s="4" t="str">
        <f>IF(C247="","",VLOOKUP(MONTH(C247),'03_Lookup'!A:B,2,FALSE))</f>
        <v/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5" x14ac:dyDescent="0.25">
      <c r="A248" s="5">
        <v>245</v>
      </c>
      <c r="B248" s="6">
        <v>45363</v>
      </c>
      <c r="C248" s="6">
        <v>45369</v>
      </c>
      <c r="D248" s="4" t="s">
        <v>50</v>
      </c>
      <c r="E248" s="4" t="s">
        <v>46</v>
      </c>
      <c r="F248" s="4" t="s">
        <v>51</v>
      </c>
      <c r="G248" s="4" t="s">
        <v>135</v>
      </c>
      <c r="H248" s="5">
        <v>144</v>
      </c>
      <c r="I248" s="4">
        <f t="shared" si="0"/>
        <v>11</v>
      </c>
      <c r="J248" s="4">
        <f t="shared" si="1"/>
        <v>12</v>
      </c>
      <c r="K248" s="4" t="str">
        <f>VLOOKUP(MONTH(B248),'03_Lookup'!A:B,2,FALSE)</f>
        <v>Mar</v>
      </c>
      <c r="L248" s="4" t="str">
        <f>IF(C248="","",VLOOKUP(MONTH(C248),'03_Lookup'!A:B,2,FALSE))</f>
        <v>Mar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5" x14ac:dyDescent="0.25">
      <c r="A249" s="5">
        <v>246</v>
      </c>
      <c r="B249" s="6">
        <v>45335</v>
      </c>
      <c r="C249" s="4" t="s">
        <v>44</v>
      </c>
      <c r="D249" s="4" t="s">
        <v>45</v>
      </c>
      <c r="E249" s="4" t="s">
        <v>48</v>
      </c>
      <c r="F249" s="4" t="s">
        <v>47</v>
      </c>
      <c r="G249" s="4" t="s">
        <v>136</v>
      </c>
      <c r="H249" s="4" t="s">
        <v>44</v>
      </c>
      <c r="I249" s="4">
        <f t="shared" si="0"/>
        <v>7</v>
      </c>
      <c r="J249" s="4" t="str">
        <f t="shared" si="1"/>
        <v/>
      </c>
      <c r="K249" s="4" t="str">
        <f>VLOOKUP(MONTH(B249),'03_Lookup'!A:B,2,FALSE)</f>
        <v>Feb</v>
      </c>
      <c r="L249" s="4" t="str">
        <f>IF(C249="","",VLOOKUP(MONTH(C249),'03_Lookup'!A:B,2,FALSE))</f>
        <v/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5" x14ac:dyDescent="0.25">
      <c r="A250" s="5">
        <v>247</v>
      </c>
      <c r="B250" s="6">
        <v>45337</v>
      </c>
      <c r="C250" s="4" t="s">
        <v>44</v>
      </c>
      <c r="D250" s="4" t="s">
        <v>45</v>
      </c>
      <c r="E250" s="4" t="s">
        <v>46</v>
      </c>
      <c r="F250" s="4" t="s">
        <v>47</v>
      </c>
      <c r="G250" s="4" t="s">
        <v>135</v>
      </c>
      <c r="H250" s="4" t="s">
        <v>44</v>
      </c>
      <c r="I250" s="4">
        <f t="shared" si="0"/>
        <v>7</v>
      </c>
      <c r="J250" s="4" t="str">
        <f t="shared" si="1"/>
        <v/>
      </c>
      <c r="K250" s="4" t="str">
        <f>VLOOKUP(MONTH(B250),'03_Lookup'!A:B,2,FALSE)</f>
        <v>Feb</v>
      </c>
      <c r="L250" s="4" t="str">
        <f>IF(C250="","",VLOOKUP(MONTH(C250),'03_Lookup'!A:B,2,FALSE))</f>
        <v/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5" x14ac:dyDescent="0.25">
      <c r="A251" s="5">
        <v>248</v>
      </c>
      <c r="B251" s="6">
        <v>45294</v>
      </c>
      <c r="C251" s="6">
        <v>45296</v>
      </c>
      <c r="D251" s="4" t="s">
        <v>50</v>
      </c>
      <c r="E251" s="4" t="s">
        <v>48</v>
      </c>
      <c r="F251" s="4" t="s">
        <v>51</v>
      </c>
      <c r="G251" s="4" t="s">
        <v>135</v>
      </c>
      <c r="H251" s="5">
        <v>48</v>
      </c>
      <c r="I251" s="4">
        <f t="shared" si="0"/>
        <v>1</v>
      </c>
      <c r="J251" s="4">
        <f t="shared" si="1"/>
        <v>1</v>
      </c>
      <c r="K251" s="4" t="str">
        <f>VLOOKUP(MONTH(B251),'03_Lookup'!A:B,2,FALSE)</f>
        <v>Jan</v>
      </c>
      <c r="L251" s="4" t="str">
        <f>IF(C251="","",VLOOKUP(MONTH(C251),'03_Lookup'!A:B,2,FALSE))</f>
        <v>Jan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5" x14ac:dyDescent="0.25">
      <c r="A252" s="5">
        <v>249</v>
      </c>
      <c r="B252" s="6">
        <v>45296</v>
      </c>
      <c r="C252" s="4" t="s">
        <v>44</v>
      </c>
      <c r="D252" s="4" t="s">
        <v>45</v>
      </c>
      <c r="E252" s="4" t="s">
        <v>46</v>
      </c>
      <c r="F252" s="4" t="s">
        <v>49</v>
      </c>
      <c r="G252" s="4" t="s">
        <v>136</v>
      </c>
      <c r="H252" s="4" t="s">
        <v>44</v>
      </c>
      <c r="I252" s="4">
        <f t="shared" si="0"/>
        <v>1</v>
      </c>
      <c r="J252" s="4" t="str">
        <f t="shared" si="1"/>
        <v/>
      </c>
      <c r="K252" s="4" t="str">
        <f>VLOOKUP(MONTH(B252),'03_Lookup'!A:B,2,FALSE)</f>
        <v>Jan</v>
      </c>
      <c r="L252" s="4" t="str">
        <f>IF(C252="","",VLOOKUP(MONTH(C252),'03_Lookup'!A:B,2,FALSE))</f>
        <v/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5" x14ac:dyDescent="0.25">
      <c r="A253" s="5">
        <v>250</v>
      </c>
      <c r="B253" s="6">
        <v>45378</v>
      </c>
      <c r="C253" s="4" t="s">
        <v>44</v>
      </c>
      <c r="D253" s="4" t="s">
        <v>45</v>
      </c>
      <c r="E253" s="4" t="s">
        <v>48</v>
      </c>
      <c r="F253" s="4" t="s">
        <v>47</v>
      </c>
      <c r="G253" s="4" t="s">
        <v>135</v>
      </c>
      <c r="H253" s="4" t="s">
        <v>44</v>
      </c>
      <c r="I253" s="4">
        <f t="shared" si="0"/>
        <v>13</v>
      </c>
      <c r="J253" s="4" t="str">
        <f t="shared" si="1"/>
        <v/>
      </c>
      <c r="K253" s="4" t="str">
        <f>VLOOKUP(MONTH(B253),'03_Lookup'!A:B,2,FALSE)</f>
        <v>Mar</v>
      </c>
      <c r="L253" s="4" t="str">
        <f>IF(C253="","",VLOOKUP(MONTH(C253),'03_Lookup'!A:B,2,FALSE))</f>
        <v/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5" x14ac:dyDescent="0.25">
      <c r="A254" s="5">
        <v>251</v>
      </c>
      <c r="B254" s="6">
        <v>45310</v>
      </c>
      <c r="C254" s="6">
        <v>45319</v>
      </c>
      <c r="D254" s="4" t="s">
        <v>50</v>
      </c>
      <c r="E254" s="4" t="s">
        <v>46</v>
      </c>
      <c r="F254" s="4" t="s">
        <v>51</v>
      </c>
      <c r="G254" s="4" t="s">
        <v>135</v>
      </c>
      <c r="H254" s="5">
        <v>216</v>
      </c>
      <c r="I254" s="4">
        <f t="shared" si="0"/>
        <v>3</v>
      </c>
      <c r="J254" s="4">
        <f t="shared" si="1"/>
        <v>4</v>
      </c>
      <c r="K254" s="4" t="str">
        <f>VLOOKUP(MONTH(B254),'03_Lookup'!A:B,2,FALSE)</f>
        <v>Jan</v>
      </c>
      <c r="L254" s="4" t="str">
        <f>IF(C254="","",VLOOKUP(MONTH(C254),'03_Lookup'!A:B,2,FALSE))</f>
        <v>Jan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5" x14ac:dyDescent="0.25">
      <c r="A255" s="5">
        <v>252</v>
      </c>
      <c r="B255" s="6">
        <v>45300</v>
      </c>
      <c r="C255" s="4" t="s">
        <v>44</v>
      </c>
      <c r="D255" s="4" t="s">
        <v>45</v>
      </c>
      <c r="E255" s="4" t="s">
        <v>48</v>
      </c>
      <c r="F255" s="4" t="s">
        <v>47</v>
      </c>
      <c r="G255" s="4" t="s">
        <v>135</v>
      </c>
      <c r="H255" s="4" t="s">
        <v>44</v>
      </c>
      <c r="I255" s="4">
        <f t="shared" si="0"/>
        <v>2</v>
      </c>
      <c r="J255" s="4" t="str">
        <f t="shared" si="1"/>
        <v/>
      </c>
      <c r="K255" s="4" t="str">
        <f>VLOOKUP(MONTH(B255),'03_Lookup'!A:B,2,FALSE)</f>
        <v>Jan</v>
      </c>
      <c r="L255" s="4" t="str">
        <f>IF(C255="","",VLOOKUP(MONTH(C255),'03_Lookup'!A:B,2,FALSE))</f>
        <v/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5" x14ac:dyDescent="0.25">
      <c r="A256" s="5">
        <v>253</v>
      </c>
      <c r="B256" s="6">
        <v>45356</v>
      </c>
      <c r="C256" s="6">
        <v>45361</v>
      </c>
      <c r="D256" s="4" t="s">
        <v>50</v>
      </c>
      <c r="E256" s="4" t="s">
        <v>48</v>
      </c>
      <c r="F256" s="4" t="s">
        <v>47</v>
      </c>
      <c r="G256" s="4" t="s">
        <v>136</v>
      </c>
      <c r="H256" s="5">
        <v>120</v>
      </c>
      <c r="I256" s="4">
        <f t="shared" si="0"/>
        <v>10</v>
      </c>
      <c r="J256" s="4">
        <f t="shared" si="1"/>
        <v>10</v>
      </c>
      <c r="K256" s="4" t="str">
        <f>VLOOKUP(MONTH(B256),'03_Lookup'!A:B,2,FALSE)</f>
        <v>Mar</v>
      </c>
      <c r="L256" s="4" t="str">
        <f>IF(C256="","",VLOOKUP(MONTH(C256),'03_Lookup'!A:B,2,FALSE))</f>
        <v>Mar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5" x14ac:dyDescent="0.25">
      <c r="A257" s="5">
        <v>254</v>
      </c>
      <c r="B257" s="6">
        <v>45305</v>
      </c>
      <c r="C257" s="4" t="s">
        <v>44</v>
      </c>
      <c r="D257" s="4" t="s">
        <v>45</v>
      </c>
      <c r="E257" s="4" t="s">
        <v>46</v>
      </c>
      <c r="F257" s="4" t="s">
        <v>47</v>
      </c>
      <c r="G257" s="4" t="s">
        <v>136</v>
      </c>
      <c r="H257" s="4" t="s">
        <v>44</v>
      </c>
      <c r="I257" s="4">
        <f t="shared" si="0"/>
        <v>2</v>
      </c>
      <c r="J257" s="4" t="str">
        <f t="shared" si="1"/>
        <v/>
      </c>
      <c r="K257" s="4" t="str">
        <f>VLOOKUP(MONTH(B257),'03_Lookup'!A:B,2,FALSE)</f>
        <v>Jan</v>
      </c>
      <c r="L257" s="4" t="str">
        <f>IF(C257="","",VLOOKUP(MONTH(C257),'03_Lookup'!A:B,2,FALSE))</f>
        <v/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5" x14ac:dyDescent="0.25">
      <c r="A258" s="5">
        <v>255</v>
      </c>
      <c r="B258" s="6">
        <v>45317</v>
      </c>
      <c r="C258" s="4" t="s">
        <v>44</v>
      </c>
      <c r="D258" s="4" t="s">
        <v>45</v>
      </c>
      <c r="E258" s="4" t="s">
        <v>46</v>
      </c>
      <c r="F258" s="4" t="s">
        <v>47</v>
      </c>
      <c r="G258" s="4" t="s">
        <v>136</v>
      </c>
      <c r="H258" s="4" t="s">
        <v>44</v>
      </c>
      <c r="I258" s="4">
        <f t="shared" si="0"/>
        <v>4</v>
      </c>
      <c r="J258" s="4" t="str">
        <f t="shared" si="1"/>
        <v/>
      </c>
      <c r="K258" s="4" t="str">
        <f>VLOOKUP(MONTH(B258),'03_Lookup'!A:B,2,FALSE)</f>
        <v>Jan</v>
      </c>
      <c r="L258" s="4" t="str">
        <f>IF(C258="","",VLOOKUP(MONTH(C258),'03_Lookup'!A:B,2,FALSE))</f>
        <v/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5" x14ac:dyDescent="0.25">
      <c r="A259" s="5">
        <v>256</v>
      </c>
      <c r="B259" s="6">
        <v>45363</v>
      </c>
      <c r="C259" s="4" t="s">
        <v>44</v>
      </c>
      <c r="D259" s="4" t="s">
        <v>45</v>
      </c>
      <c r="E259" s="4" t="s">
        <v>48</v>
      </c>
      <c r="F259" s="4" t="s">
        <v>47</v>
      </c>
      <c r="G259" s="4" t="s">
        <v>135</v>
      </c>
      <c r="H259" s="4" t="s">
        <v>44</v>
      </c>
      <c r="I259" s="4">
        <f t="shared" ref="I259:I402" si="2">WEEKNUM(B259,2)</f>
        <v>11</v>
      </c>
      <c r="J259" s="4" t="str">
        <f t="shared" ref="J259:J402" si="3">IF(C259="","",WEEKNUM(C259,2))</f>
        <v/>
      </c>
      <c r="K259" s="4" t="str">
        <f>VLOOKUP(MONTH(B259),'03_Lookup'!A:B,2,FALSE)</f>
        <v>Mar</v>
      </c>
      <c r="L259" s="4" t="str">
        <f>IF(C259="","",VLOOKUP(MONTH(C259),'03_Lookup'!A:B,2,FALSE))</f>
        <v/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5" x14ac:dyDescent="0.25">
      <c r="A260" s="5">
        <v>257</v>
      </c>
      <c r="B260" s="6">
        <v>45363</v>
      </c>
      <c r="C260" s="4" t="s">
        <v>44</v>
      </c>
      <c r="D260" s="4" t="s">
        <v>45</v>
      </c>
      <c r="E260" s="4" t="s">
        <v>48</v>
      </c>
      <c r="F260" s="4" t="s">
        <v>51</v>
      </c>
      <c r="G260" s="4" t="s">
        <v>135</v>
      </c>
      <c r="H260" s="4" t="s">
        <v>44</v>
      </c>
      <c r="I260" s="4">
        <f t="shared" si="2"/>
        <v>11</v>
      </c>
      <c r="J260" s="4" t="str">
        <f t="shared" si="3"/>
        <v/>
      </c>
      <c r="K260" s="4" t="str">
        <f>VLOOKUP(MONTH(B260),'03_Lookup'!A:B,2,FALSE)</f>
        <v>Mar</v>
      </c>
      <c r="L260" s="4" t="str">
        <f>IF(C260="","",VLOOKUP(MONTH(C260),'03_Lookup'!A:B,2,FALSE))</f>
        <v/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5" x14ac:dyDescent="0.25">
      <c r="A261" s="5">
        <v>258</v>
      </c>
      <c r="B261" s="6">
        <v>45332</v>
      </c>
      <c r="C261" s="4" t="s">
        <v>44</v>
      </c>
      <c r="D261" s="4" t="s">
        <v>45</v>
      </c>
      <c r="E261" s="4" t="s">
        <v>46</v>
      </c>
      <c r="F261" s="4" t="s">
        <v>47</v>
      </c>
      <c r="G261" s="4" t="s">
        <v>135</v>
      </c>
      <c r="H261" s="4" t="s">
        <v>44</v>
      </c>
      <c r="I261" s="4">
        <f t="shared" si="2"/>
        <v>6</v>
      </c>
      <c r="J261" s="4" t="str">
        <f t="shared" si="3"/>
        <v/>
      </c>
      <c r="K261" s="4" t="str">
        <f>VLOOKUP(MONTH(B261),'03_Lookup'!A:B,2,FALSE)</f>
        <v>Feb</v>
      </c>
      <c r="L261" s="4" t="str">
        <f>IF(C261="","",VLOOKUP(MONTH(C261),'03_Lookup'!A:B,2,FALSE))</f>
        <v/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5" x14ac:dyDescent="0.25">
      <c r="A262" s="5">
        <v>259</v>
      </c>
      <c r="B262" s="6">
        <v>45321</v>
      </c>
      <c r="C262" s="6">
        <v>45329</v>
      </c>
      <c r="D262" s="4" t="s">
        <v>50</v>
      </c>
      <c r="E262" s="4" t="s">
        <v>46</v>
      </c>
      <c r="F262" s="4" t="s">
        <v>47</v>
      </c>
      <c r="G262" s="4" t="s">
        <v>136</v>
      </c>
      <c r="H262" s="5">
        <v>192</v>
      </c>
      <c r="I262" s="4">
        <f t="shared" si="2"/>
        <v>5</v>
      </c>
      <c r="J262" s="4">
        <f t="shared" si="3"/>
        <v>6</v>
      </c>
      <c r="K262" s="4" t="str">
        <f>VLOOKUP(MONTH(B262),'03_Lookup'!A:B,2,FALSE)</f>
        <v>Jan</v>
      </c>
      <c r="L262" s="4" t="str">
        <f>IF(C262="","",VLOOKUP(MONTH(C262),'03_Lookup'!A:B,2,FALSE))</f>
        <v>Feb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5" x14ac:dyDescent="0.25">
      <c r="A263" s="5">
        <v>260</v>
      </c>
      <c r="B263" s="6">
        <v>45330</v>
      </c>
      <c r="C263" s="4" t="s">
        <v>44</v>
      </c>
      <c r="D263" s="4" t="s">
        <v>45</v>
      </c>
      <c r="E263" s="4" t="s">
        <v>46</v>
      </c>
      <c r="F263" s="4" t="s">
        <v>47</v>
      </c>
      <c r="G263" s="4" t="s">
        <v>135</v>
      </c>
      <c r="H263" s="4" t="s">
        <v>44</v>
      </c>
      <c r="I263" s="4">
        <f t="shared" si="2"/>
        <v>6</v>
      </c>
      <c r="J263" s="4" t="str">
        <f t="shared" si="3"/>
        <v/>
      </c>
      <c r="K263" s="4" t="str">
        <f>VLOOKUP(MONTH(B263),'03_Lookup'!A:B,2,FALSE)</f>
        <v>Feb</v>
      </c>
      <c r="L263" s="4" t="str">
        <f>IF(C263="","",VLOOKUP(MONTH(C263),'03_Lookup'!A:B,2,FALSE))</f>
        <v/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5" x14ac:dyDescent="0.25">
      <c r="A264" s="5">
        <v>261</v>
      </c>
      <c r="B264" s="6">
        <v>45307</v>
      </c>
      <c r="C264" s="4" t="s">
        <v>44</v>
      </c>
      <c r="D264" s="4" t="s">
        <v>45</v>
      </c>
      <c r="E264" s="4" t="s">
        <v>48</v>
      </c>
      <c r="F264" s="4" t="s">
        <v>47</v>
      </c>
      <c r="G264" s="4" t="s">
        <v>136</v>
      </c>
      <c r="H264" s="4" t="s">
        <v>44</v>
      </c>
      <c r="I264" s="4">
        <f t="shared" si="2"/>
        <v>3</v>
      </c>
      <c r="J264" s="4" t="str">
        <f t="shared" si="3"/>
        <v/>
      </c>
      <c r="K264" s="4" t="str">
        <f>VLOOKUP(MONTH(B264),'03_Lookup'!A:B,2,FALSE)</f>
        <v>Jan</v>
      </c>
      <c r="L264" s="4" t="str">
        <f>IF(C264="","",VLOOKUP(MONTH(C264),'03_Lookup'!A:B,2,FALSE))</f>
        <v/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5" x14ac:dyDescent="0.25">
      <c r="A265" s="5">
        <v>262</v>
      </c>
      <c r="B265" s="6">
        <v>45364</v>
      </c>
      <c r="C265" s="4" t="s">
        <v>44</v>
      </c>
      <c r="D265" s="4" t="s">
        <v>45</v>
      </c>
      <c r="E265" s="4" t="s">
        <v>48</v>
      </c>
      <c r="F265" s="4" t="s">
        <v>47</v>
      </c>
      <c r="G265" s="4" t="s">
        <v>135</v>
      </c>
      <c r="H265" s="4" t="s">
        <v>44</v>
      </c>
      <c r="I265" s="4">
        <f t="shared" si="2"/>
        <v>11</v>
      </c>
      <c r="J265" s="4" t="str">
        <f t="shared" si="3"/>
        <v/>
      </c>
      <c r="K265" s="4" t="str">
        <f>VLOOKUP(MONTH(B265),'03_Lookup'!A:B,2,FALSE)</f>
        <v>Mar</v>
      </c>
      <c r="L265" s="4" t="str">
        <f>IF(C265="","",VLOOKUP(MONTH(C265),'03_Lookup'!A:B,2,FALSE))</f>
        <v/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5" x14ac:dyDescent="0.25">
      <c r="A266" s="5">
        <v>263</v>
      </c>
      <c r="B266" s="6">
        <v>45309</v>
      </c>
      <c r="C266" s="4" t="s">
        <v>44</v>
      </c>
      <c r="D266" s="4" t="s">
        <v>45</v>
      </c>
      <c r="E266" s="4" t="s">
        <v>48</v>
      </c>
      <c r="F266" s="4" t="s">
        <v>47</v>
      </c>
      <c r="G266" s="4" t="s">
        <v>135</v>
      </c>
      <c r="H266" s="4" t="s">
        <v>44</v>
      </c>
      <c r="I266" s="4">
        <f t="shared" si="2"/>
        <v>3</v>
      </c>
      <c r="J266" s="4" t="str">
        <f t="shared" si="3"/>
        <v/>
      </c>
      <c r="K266" s="4" t="str">
        <f>VLOOKUP(MONTH(B266),'03_Lookup'!A:B,2,FALSE)</f>
        <v>Jan</v>
      </c>
      <c r="L266" s="4" t="str">
        <f>IF(C266="","",VLOOKUP(MONTH(C266),'03_Lookup'!A:B,2,FALSE))</f>
        <v/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5" x14ac:dyDescent="0.25">
      <c r="A267" s="5">
        <v>264</v>
      </c>
      <c r="B267" s="6">
        <v>45323</v>
      </c>
      <c r="C267" s="4" t="s">
        <v>44</v>
      </c>
      <c r="D267" s="4" t="s">
        <v>45</v>
      </c>
      <c r="E267" s="4" t="s">
        <v>46</v>
      </c>
      <c r="F267" s="4" t="s">
        <v>47</v>
      </c>
      <c r="G267" s="4" t="s">
        <v>135</v>
      </c>
      <c r="H267" s="4" t="s">
        <v>44</v>
      </c>
      <c r="I267" s="4">
        <f t="shared" si="2"/>
        <v>5</v>
      </c>
      <c r="J267" s="4" t="str">
        <f t="shared" si="3"/>
        <v/>
      </c>
      <c r="K267" s="4" t="str">
        <f>VLOOKUP(MONTH(B267),'03_Lookup'!A:B,2,FALSE)</f>
        <v>Feb</v>
      </c>
      <c r="L267" s="4" t="str">
        <f>IF(C267="","",VLOOKUP(MONTH(C267),'03_Lookup'!A:B,2,FALSE))</f>
        <v/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5" x14ac:dyDescent="0.25">
      <c r="A268" s="5">
        <v>265</v>
      </c>
      <c r="B268" s="6">
        <v>45368</v>
      </c>
      <c r="C268" s="4" t="s">
        <v>44</v>
      </c>
      <c r="D268" s="4" t="s">
        <v>45</v>
      </c>
      <c r="E268" s="4" t="s">
        <v>46</v>
      </c>
      <c r="F268" s="4" t="s">
        <v>47</v>
      </c>
      <c r="G268" s="4" t="s">
        <v>136</v>
      </c>
      <c r="H268" s="4" t="s">
        <v>44</v>
      </c>
      <c r="I268" s="4">
        <f t="shared" si="2"/>
        <v>11</v>
      </c>
      <c r="J268" s="4" t="str">
        <f t="shared" si="3"/>
        <v/>
      </c>
      <c r="K268" s="4" t="str">
        <f>VLOOKUP(MONTH(B268),'03_Lookup'!A:B,2,FALSE)</f>
        <v>Mar</v>
      </c>
      <c r="L268" s="4" t="str">
        <f>IF(C268="","",VLOOKUP(MONTH(C268),'03_Lookup'!A:B,2,FALSE))</f>
        <v/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5" x14ac:dyDescent="0.25">
      <c r="A269" s="5">
        <v>266</v>
      </c>
      <c r="B269" s="6">
        <v>45334</v>
      </c>
      <c r="C269" s="6">
        <v>45338</v>
      </c>
      <c r="D269" s="4" t="s">
        <v>50</v>
      </c>
      <c r="E269" s="4" t="s">
        <v>48</v>
      </c>
      <c r="F269" s="4" t="s">
        <v>49</v>
      </c>
      <c r="G269" s="4" t="s">
        <v>135</v>
      </c>
      <c r="H269" s="5">
        <v>96</v>
      </c>
      <c r="I269" s="4">
        <f t="shared" si="2"/>
        <v>7</v>
      </c>
      <c r="J269" s="4">
        <f t="shared" si="3"/>
        <v>7</v>
      </c>
      <c r="K269" s="4" t="str">
        <f>VLOOKUP(MONTH(B269),'03_Lookup'!A:B,2,FALSE)</f>
        <v>Feb</v>
      </c>
      <c r="L269" s="4" t="str">
        <f>IF(C269="","",VLOOKUP(MONTH(C269),'03_Lookup'!A:B,2,FALSE))</f>
        <v>Feb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5" x14ac:dyDescent="0.25">
      <c r="A270" s="5">
        <v>267</v>
      </c>
      <c r="B270" s="6">
        <v>45365</v>
      </c>
      <c r="C270" s="4" t="s">
        <v>44</v>
      </c>
      <c r="D270" s="4" t="s">
        <v>45</v>
      </c>
      <c r="E270" s="4" t="s">
        <v>48</v>
      </c>
      <c r="F270" s="4" t="s">
        <v>47</v>
      </c>
      <c r="G270" s="4" t="s">
        <v>136</v>
      </c>
      <c r="H270" s="4" t="s">
        <v>44</v>
      </c>
      <c r="I270" s="4">
        <f t="shared" si="2"/>
        <v>11</v>
      </c>
      <c r="J270" s="4" t="str">
        <f t="shared" si="3"/>
        <v/>
      </c>
      <c r="K270" s="4" t="str">
        <f>VLOOKUP(MONTH(B270),'03_Lookup'!A:B,2,FALSE)</f>
        <v>Mar</v>
      </c>
      <c r="L270" s="4" t="str">
        <f>IF(C270="","",VLOOKUP(MONTH(C270),'03_Lookup'!A:B,2,FALSE))</f>
        <v/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5" x14ac:dyDescent="0.25">
      <c r="A271" s="5">
        <v>268</v>
      </c>
      <c r="B271" s="6">
        <v>45311</v>
      </c>
      <c r="C271" s="4" t="s">
        <v>44</v>
      </c>
      <c r="D271" s="4" t="s">
        <v>45</v>
      </c>
      <c r="E271" s="4" t="s">
        <v>46</v>
      </c>
      <c r="F271" s="4" t="s">
        <v>49</v>
      </c>
      <c r="G271" s="4" t="s">
        <v>136</v>
      </c>
      <c r="H271" s="4" t="s">
        <v>44</v>
      </c>
      <c r="I271" s="4">
        <f t="shared" si="2"/>
        <v>3</v>
      </c>
      <c r="J271" s="4" t="str">
        <f t="shared" si="3"/>
        <v/>
      </c>
      <c r="K271" s="4" t="str">
        <f>VLOOKUP(MONTH(B271),'03_Lookup'!A:B,2,FALSE)</f>
        <v>Jan</v>
      </c>
      <c r="L271" s="4" t="str">
        <f>IF(C271="","",VLOOKUP(MONTH(C271),'03_Lookup'!A:B,2,FALSE))</f>
        <v/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5" x14ac:dyDescent="0.25">
      <c r="A272" s="5">
        <v>269</v>
      </c>
      <c r="B272" s="6">
        <v>45378</v>
      </c>
      <c r="C272" s="4" t="s">
        <v>44</v>
      </c>
      <c r="D272" s="4" t="s">
        <v>45</v>
      </c>
      <c r="E272" s="4" t="s">
        <v>48</v>
      </c>
      <c r="F272" s="4" t="s">
        <v>47</v>
      </c>
      <c r="G272" s="4" t="s">
        <v>135</v>
      </c>
      <c r="H272" s="4" t="s">
        <v>44</v>
      </c>
      <c r="I272" s="4">
        <f t="shared" si="2"/>
        <v>13</v>
      </c>
      <c r="J272" s="4" t="str">
        <f t="shared" si="3"/>
        <v/>
      </c>
      <c r="K272" s="4" t="str">
        <f>VLOOKUP(MONTH(B272),'03_Lookup'!A:B,2,FALSE)</f>
        <v>Mar</v>
      </c>
      <c r="L272" s="4" t="str">
        <f>IF(C272="","",VLOOKUP(MONTH(C272),'03_Lookup'!A:B,2,FALSE))</f>
        <v/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5" x14ac:dyDescent="0.25">
      <c r="A273" s="5">
        <v>270</v>
      </c>
      <c r="B273" s="6">
        <v>45360</v>
      </c>
      <c r="C273" s="6">
        <v>45361</v>
      </c>
      <c r="D273" s="4" t="s">
        <v>50</v>
      </c>
      <c r="E273" s="4" t="s">
        <v>48</v>
      </c>
      <c r="F273" s="4" t="s">
        <v>51</v>
      </c>
      <c r="G273" s="4" t="s">
        <v>135</v>
      </c>
      <c r="H273" s="5">
        <v>24</v>
      </c>
      <c r="I273" s="4">
        <f t="shared" si="2"/>
        <v>10</v>
      </c>
      <c r="J273" s="4">
        <f t="shared" si="3"/>
        <v>10</v>
      </c>
      <c r="K273" s="4" t="str">
        <f>VLOOKUP(MONTH(B273),'03_Lookup'!A:B,2,FALSE)</f>
        <v>Mar</v>
      </c>
      <c r="L273" s="4" t="str">
        <f>IF(C273="","",VLOOKUP(MONTH(C273),'03_Lookup'!A:B,2,FALSE))</f>
        <v>Mar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5" x14ac:dyDescent="0.25">
      <c r="A274" s="5">
        <v>271</v>
      </c>
      <c r="B274" s="6">
        <v>45310</v>
      </c>
      <c r="C274" s="4" t="s">
        <v>44</v>
      </c>
      <c r="D274" s="4" t="s">
        <v>45</v>
      </c>
      <c r="E274" s="4" t="s">
        <v>48</v>
      </c>
      <c r="F274" s="4" t="s">
        <v>47</v>
      </c>
      <c r="G274" s="4" t="s">
        <v>135</v>
      </c>
      <c r="H274" s="4" t="s">
        <v>44</v>
      </c>
      <c r="I274" s="4">
        <f t="shared" si="2"/>
        <v>3</v>
      </c>
      <c r="J274" s="4" t="str">
        <f t="shared" si="3"/>
        <v/>
      </c>
      <c r="K274" s="4" t="str">
        <f>VLOOKUP(MONTH(B274),'03_Lookup'!A:B,2,FALSE)</f>
        <v>Jan</v>
      </c>
      <c r="L274" s="4" t="str">
        <f>IF(C274="","",VLOOKUP(MONTH(C274),'03_Lookup'!A:B,2,FALSE))</f>
        <v/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5" x14ac:dyDescent="0.25">
      <c r="A275" s="5">
        <v>272</v>
      </c>
      <c r="B275" s="6">
        <v>45355</v>
      </c>
      <c r="C275" s="4" t="s">
        <v>44</v>
      </c>
      <c r="D275" s="4" t="s">
        <v>45</v>
      </c>
      <c r="E275" s="4" t="s">
        <v>48</v>
      </c>
      <c r="F275" s="4" t="s">
        <v>47</v>
      </c>
      <c r="G275" s="4" t="s">
        <v>135</v>
      </c>
      <c r="H275" s="4" t="s">
        <v>44</v>
      </c>
      <c r="I275" s="4">
        <f t="shared" si="2"/>
        <v>10</v>
      </c>
      <c r="J275" s="4" t="str">
        <f t="shared" si="3"/>
        <v/>
      </c>
      <c r="K275" s="4" t="str">
        <f>VLOOKUP(MONTH(B275),'03_Lookup'!A:B,2,FALSE)</f>
        <v>Mar</v>
      </c>
      <c r="L275" s="4" t="str">
        <f>IF(C275="","",VLOOKUP(MONTH(C275),'03_Lookup'!A:B,2,FALSE))</f>
        <v/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5" x14ac:dyDescent="0.25">
      <c r="A276" s="5">
        <v>273</v>
      </c>
      <c r="B276" s="6">
        <v>45339</v>
      </c>
      <c r="C276" s="4" t="s">
        <v>44</v>
      </c>
      <c r="D276" s="4" t="s">
        <v>45</v>
      </c>
      <c r="E276" s="4" t="s">
        <v>48</v>
      </c>
      <c r="F276" s="4" t="s">
        <v>47</v>
      </c>
      <c r="G276" s="4" t="s">
        <v>135</v>
      </c>
      <c r="H276" s="4" t="s">
        <v>44</v>
      </c>
      <c r="I276" s="4">
        <f t="shared" si="2"/>
        <v>7</v>
      </c>
      <c r="J276" s="4" t="str">
        <f t="shared" si="3"/>
        <v/>
      </c>
      <c r="K276" s="4" t="str">
        <f>VLOOKUP(MONTH(B276),'03_Lookup'!A:B,2,FALSE)</f>
        <v>Feb</v>
      </c>
      <c r="L276" s="4" t="str">
        <f>IF(C276="","",VLOOKUP(MONTH(C276),'03_Lookup'!A:B,2,FALSE))</f>
        <v/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5" x14ac:dyDescent="0.25">
      <c r="A277" s="5">
        <v>274</v>
      </c>
      <c r="B277" s="6">
        <v>45335</v>
      </c>
      <c r="C277" s="4" t="s">
        <v>44</v>
      </c>
      <c r="D277" s="4" t="s">
        <v>45</v>
      </c>
      <c r="E277" s="4" t="s">
        <v>48</v>
      </c>
      <c r="F277" s="4" t="s">
        <v>47</v>
      </c>
      <c r="G277" s="4" t="s">
        <v>136</v>
      </c>
      <c r="H277" s="4" t="s">
        <v>44</v>
      </c>
      <c r="I277" s="4">
        <f t="shared" si="2"/>
        <v>7</v>
      </c>
      <c r="J277" s="4" t="str">
        <f t="shared" si="3"/>
        <v/>
      </c>
      <c r="K277" s="4" t="str">
        <f>VLOOKUP(MONTH(B277),'03_Lookup'!A:B,2,FALSE)</f>
        <v>Feb</v>
      </c>
      <c r="L277" s="4" t="str">
        <f>IF(C277="","",VLOOKUP(MONTH(C277),'03_Lookup'!A:B,2,FALSE))</f>
        <v/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5" x14ac:dyDescent="0.25">
      <c r="A278" s="5">
        <v>275</v>
      </c>
      <c r="B278" s="6">
        <v>45357</v>
      </c>
      <c r="C278" s="4" t="s">
        <v>44</v>
      </c>
      <c r="D278" s="4" t="s">
        <v>45</v>
      </c>
      <c r="E278" s="4" t="s">
        <v>46</v>
      </c>
      <c r="F278" s="4" t="s">
        <v>47</v>
      </c>
      <c r="G278" s="4" t="s">
        <v>135</v>
      </c>
      <c r="H278" s="4" t="s">
        <v>44</v>
      </c>
      <c r="I278" s="4">
        <f t="shared" si="2"/>
        <v>10</v>
      </c>
      <c r="J278" s="4" t="str">
        <f t="shared" si="3"/>
        <v/>
      </c>
      <c r="K278" s="4" t="str">
        <f>VLOOKUP(MONTH(B278),'03_Lookup'!A:B,2,FALSE)</f>
        <v>Mar</v>
      </c>
      <c r="L278" s="4" t="str">
        <f>IF(C278="","",VLOOKUP(MONTH(C278),'03_Lookup'!A:B,2,FALSE))</f>
        <v/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5" x14ac:dyDescent="0.25">
      <c r="A279" s="5">
        <v>276</v>
      </c>
      <c r="B279" s="6">
        <v>45321</v>
      </c>
      <c r="C279" s="4" t="s">
        <v>44</v>
      </c>
      <c r="D279" s="4" t="s">
        <v>45</v>
      </c>
      <c r="E279" s="4" t="s">
        <v>46</v>
      </c>
      <c r="F279" s="4" t="s">
        <v>47</v>
      </c>
      <c r="G279" s="4" t="s">
        <v>135</v>
      </c>
      <c r="H279" s="4" t="s">
        <v>44</v>
      </c>
      <c r="I279" s="4">
        <f t="shared" si="2"/>
        <v>5</v>
      </c>
      <c r="J279" s="4" t="str">
        <f t="shared" si="3"/>
        <v/>
      </c>
      <c r="K279" s="4" t="str">
        <f>VLOOKUP(MONTH(B279),'03_Lookup'!A:B,2,FALSE)</f>
        <v>Jan</v>
      </c>
      <c r="L279" s="4" t="str">
        <f>IF(C279="","",VLOOKUP(MONTH(C279),'03_Lookup'!A:B,2,FALSE))</f>
        <v/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5" x14ac:dyDescent="0.25">
      <c r="A280" s="5">
        <v>277</v>
      </c>
      <c r="B280" s="6">
        <v>45374</v>
      </c>
      <c r="C280" s="4" t="s">
        <v>44</v>
      </c>
      <c r="D280" s="4" t="s">
        <v>45</v>
      </c>
      <c r="E280" s="4" t="s">
        <v>46</v>
      </c>
      <c r="F280" s="4" t="s">
        <v>47</v>
      </c>
      <c r="G280" s="4" t="s">
        <v>136</v>
      </c>
      <c r="H280" s="4" t="s">
        <v>44</v>
      </c>
      <c r="I280" s="4">
        <f t="shared" si="2"/>
        <v>12</v>
      </c>
      <c r="J280" s="4" t="str">
        <f t="shared" si="3"/>
        <v/>
      </c>
      <c r="K280" s="4" t="str">
        <f>VLOOKUP(MONTH(B280),'03_Lookup'!A:B,2,FALSE)</f>
        <v>Mar</v>
      </c>
      <c r="L280" s="4" t="str">
        <f>IF(C280="","",VLOOKUP(MONTH(C280),'03_Lookup'!A:B,2,FALSE))</f>
        <v/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5" x14ac:dyDescent="0.25">
      <c r="A281" s="5">
        <v>278</v>
      </c>
      <c r="B281" s="6">
        <v>45365</v>
      </c>
      <c r="C281" s="4" t="s">
        <v>44</v>
      </c>
      <c r="D281" s="4" t="s">
        <v>45</v>
      </c>
      <c r="E281" s="4" t="s">
        <v>46</v>
      </c>
      <c r="F281" s="4" t="s">
        <v>51</v>
      </c>
      <c r="G281" s="4" t="s">
        <v>135</v>
      </c>
      <c r="H281" s="4" t="s">
        <v>44</v>
      </c>
      <c r="I281" s="4">
        <f t="shared" si="2"/>
        <v>11</v>
      </c>
      <c r="J281" s="4" t="str">
        <f t="shared" si="3"/>
        <v/>
      </c>
      <c r="K281" s="4" t="str">
        <f>VLOOKUP(MONTH(B281),'03_Lookup'!A:B,2,FALSE)</f>
        <v>Mar</v>
      </c>
      <c r="L281" s="4" t="str">
        <f>IF(C281="","",VLOOKUP(MONTH(C281),'03_Lookup'!A:B,2,FALSE))</f>
        <v/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5" x14ac:dyDescent="0.25">
      <c r="A282" s="5">
        <v>279</v>
      </c>
      <c r="B282" s="6">
        <v>45379</v>
      </c>
      <c r="C282" s="4" t="s">
        <v>44</v>
      </c>
      <c r="D282" s="4" t="s">
        <v>45</v>
      </c>
      <c r="E282" s="4" t="s">
        <v>46</v>
      </c>
      <c r="F282" s="4" t="s">
        <v>47</v>
      </c>
      <c r="G282" s="4" t="s">
        <v>136</v>
      </c>
      <c r="H282" s="4" t="s">
        <v>44</v>
      </c>
      <c r="I282" s="4">
        <f t="shared" si="2"/>
        <v>13</v>
      </c>
      <c r="J282" s="4" t="str">
        <f t="shared" si="3"/>
        <v/>
      </c>
      <c r="K282" s="4" t="str">
        <f>VLOOKUP(MONTH(B282),'03_Lookup'!A:B,2,FALSE)</f>
        <v>Mar</v>
      </c>
      <c r="L282" s="4" t="str">
        <f>IF(C282="","",VLOOKUP(MONTH(C282),'03_Lookup'!A:B,2,FALSE))</f>
        <v/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5" x14ac:dyDescent="0.25">
      <c r="A283" s="5">
        <v>280</v>
      </c>
      <c r="B283" s="6">
        <v>45359</v>
      </c>
      <c r="C283" s="4" t="s">
        <v>44</v>
      </c>
      <c r="D283" s="4" t="s">
        <v>45</v>
      </c>
      <c r="E283" s="4" t="s">
        <v>48</v>
      </c>
      <c r="F283" s="4" t="s">
        <v>47</v>
      </c>
      <c r="G283" s="4" t="s">
        <v>136</v>
      </c>
      <c r="H283" s="4" t="s">
        <v>44</v>
      </c>
      <c r="I283" s="4">
        <f t="shared" si="2"/>
        <v>10</v>
      </c>
      <c r="J283" s="4" t="str">
        <f t="shared" si="3"/>
        <v/>
      </c>
      <c r="K283" s="4" t="str">
        <f>VLOOKUP(MONTH(B283),'03_Lookup'!A:B,2,FALSE)</f>
        <v>Mar</v>
      </c>
      <c r="L283" s="4" t="str">
        <f>IF(C283="","",VLOOKUP(MONTH(C283),'03_Lookup'!A:B,2,FALSE))</f>
        <v/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5" x14ac:dyDescent="0.25">
      <c r="A284" s="5">
        <v>281</v>
      </c>
      <c r="B284" s="6">
        <v>45347</v>
      </c>
      <c r="C284" s="6">
        <v>45356</v>
      </c>
      <c r="D284" s="4" t="s">
        <v>50</v>
      </c>
      <c r="E284" s="4" t="s">
        <v>48</v>
      </c>
      <c r="F284" s="4" t="s">
        <v>51</v>
      </c>
      <c r="G284" s="4" t="s">
        <v>135</v>
      </c>
      <c r="H284" s="5">
        <v>216</v>
      </c>
      <c r="I284" s="4">
        <f t="shared" si="2"/>
        <v>8</v>
      </c>
      <c r="J284" s="4">
        <f t="shared" si="3"/>
        <v>10</v>
      </c>
      <c r="K284" s="4" t="str">
        <f>VLOOKUP(MONTH(B284),'03_Lookup'!A:B,2,FALSE)</f>
        <v>Feb</v>
      </c>
      <c r="L284" s="4" t="str">
        <f>IF(C284="","",VLOOKUP(MONTH(C284),'03_Lookup'!A:B,2,FALSE))</f>
        <v>Mar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5" x14ac:dyDescent="0.25">
      <c r="A285" s="5">
        <v>282</v>
      </c>
      <c r="B285" s="6">
        <v>45372</v>
      </c>
      <c r="C285" s="4" t="s">
        <v>44</v>
      </c>
      <c r="D285" s="4" t="s">
        <v>45</v>
      </c>
      <c r="E285" s="4" t="s">
        <v>48</v>
      </c>
      <c r="F285" s="4" t="s">
        <v>47</v>
      </c>
      <c r="G285" s="4" t="s">
        <v>135</v>
      </c>
      <c r="H285" s="4" t="s">
        <v>44</v>
      </c>
      <c r="I285" s="4">
        <f t="shared" si="2"/>
        <v>12</v>
      </c>
      <c r="J285" s="4" t="str">
        <f t="shared" si="3"/>
        <v/>
      </c>
      <c r="K285" s="4" t="str">
        <f>VLOOKUP(MONTH(B285),'03_Lookup'!A:B,2,FALSE)</f>
        <v>Mar</v>
      </c>
      <c r="L285" s="4" t="str">
        <f>IF(C285="","",VLOOKUP(MONTH(C285),'03_Lookup'!A:B,2,FALSE))</f>
        <v/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5" x14ac:dyDescent="0.25">
      <c r="A286" s="5">
        <v>283</v>
      </c>
      <c r="B286" s="6">
        <v>45335</v>
      </c>
      <c r="C286" s="4" t="s">
        <v>44</v>
      </c>
      <c r="D286" s="4" t="s">
        <v>45</v>
      </c>
      <c r="E286" s="4" t="s">
        <v>46</v>
      </c>
      <c r="F286" s="4" t="s">
        <v>47</v>
      </c>
      <c r="G286" s="4" t="s">
        <v>135</v>
      </c>
      <c r="H286" s="4" t="s">
        <v>44</v>
      </c>
      <c r="I286" s="4">
        <f t="shared" si="2"/>
        <v>7</v>
      </c>
      <c r="J286" s="4" t="str">
        <f t="shared" si="3"/>
        <v/>
      </c>
      <c r="K286" s="4" t="str">
        <f>VLOOKUP(MONTH(B286),'03_Lookup'!A:B,2,FALSE)</f>
        <v>Feb</v>
      </c>
      <c r="L286" s="4" t="str">
        <f>IF(C286="","",VLOOKUP(MONTH(C286),'03_Lookup'!A:B,2,FALSE))</f>
        <v/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5" x14ac:dyDescent="0.25">
      <c r="A287" s="5">
        <v>284</v>
      </c>
      <c r="B287" s="6">
        <v>45325</v>
      </c>
      <c r="C287" s="4" t="s">
        <v>44</v>
      </c>
      <c r="D287" s="4" t="s">
        <v>45</v>
      </c>
      <c r="E287" s="4" t="s">
        <v>46</v>
      </c>
      <c r="F287" s="4" t="s">
        <v>47</v>
      </c>
      <c r="G287" s="4" t="s">
        <v>135</v>
      </c>
      <c r="H287" s="4" t="s">
        <v>44</v>
      </c>
      <c r="I287" s="4">
        <f t="shared" si="2"/>
        <v>5</v>
      </c>
      <c r="J287" s="4" t="str">
        <f t="shared" si="3"/>
        <v/>
      </c>
      <c r="K287" s="4" t="str">
        <f>VLOOKUP(MONTH(B287),'03_Lookup'!A:B,2,FALSE)</f>
        <v>Feb</v>
      </c>
      <c r="L287" s="4" t="str">
        <f>IF(C287="","",VLOOKUP(MONTH(C287),'03_Lookup'!A:B,2,FALSE))</f>
        <v/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5" x14ac:dyDescent="0.25">
      <c r="A288" s="5">
        <v>285</v>
      </c>
      <c r="B288" s="6">
        <v>45292</v>
      </c>
      <c r="C288" s="4" t="s">
        <v>44</v>
      </c>
      <c r="D288" s="4" t="s">
        <v>45</v>
      </c>
      <c r="E288" s="4" t="s">
        <v>46</v>
      </c>
      <c r="F288" s="4" t="s">
        <v>49</v>
      </c>
      <c r="G288" s="4" t="s">
        <v>136</v>
      </c>
      <c r="H288" s="4" t="s">
        <v>44</v>
      </c>
      <c r="I288" s="4">
        <f t="shared" si="2"/>
        <v>1</v>
      </c>
      <c r="J288" s="4" t="str">
        <f t="shared" si="3"/>
        <v/>
      </c>
      <c r="K288" s="4" t="str">
        <f>VLOOKUP(MONTH(B288),'03_Lookup'!A:B,2,FALSE)</f>
        <v>Jan</v>
      </c>
      <c r="L288" s="4" t="str">
        <f>IF(C288="","",VLOOKUP(MONTH(C288),'03_Lookup'!A:B,2,FALSE))</f>
        <v/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5" x14ac:dyDescent="0.25">
      <c r="A289" s="5">
        <v>286</v>
      </c>
      <c r="B289" s="6">
        <v>45342</v>
      </c>
      <c r="C289" s="6">
        <v>45343</v>
      </c>
      <c r="D289" s="4" t="s">
        <v>50</v>
      </c>
      <c r="E289" s="4" t="s">
        <v>46</v>
      </c>
      <c r="F289" s="4" t="s">
        <v>51</v>
      </c>
      <c r="G289" s="4" t="s">
        <v>136</v>
      </c>
      <c r="H289" s="5">
        <v>24</v>
      </c>
      <c r="I289" s="4">
        <f t="shared" si="2"/>
        <v>8</v>
      </c>
      <c r="J289" s="4">
        <f t="shared" si="3"/>
        <v>8</v>
      </c>
      <c r="K289" s="4" t="str">
        <f>VLOOKUP(MONTH(B289),'03_Lookup'!A:B,2,FALSE)</f>
        <v>Feb</v>
      </c>
      <c r="L289" s="4" t="str">
        <f>IF(C289="","",VLOOKUP(MONTH(C289),'03_Lookup'!A:B,2,FALSE))</f>
        <v>Feb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5" x14ac:dyDescent="0.25">
      <c r="A290" s="5">
        <v>287</v>
      </c>
      <c r="B290" s="6">
        <v>45330</v>
      </c>
      <c r="C290" s="4" t="s">
        <v>44</v>
      </c>
      <c r="D290" s="4" t="s">
        <v>45</v>
      </c>
      <c r="E290" s="4" t="s">
        <v>48</v>
      </c>
      <c r="F290" s="4" t="s">
        <v>47</v>
      </c>
      <c r="G290" s="4" t="s">
        <v>136</v>
      </c>
      <c r="H290" s="4" t="s">
        <v>44</v>
      </c>
      <c r="I290" s="4">
        <f t="shared" si="2"/>
        <v>6</v>
      </c>
      <c r="J290" s="4" t="str">
        <f t="shared" si="3"/>
        <v/>
      </c>
      <c r="K290" s="4" t="str">
        <f>VLOOKUP(MONTH(B290),'03_Lookup'!A:B,2,FALSE)</f>
        <v>Feb</v>
      </c>
      <c r="L290" s="4" t="str">
        <f>IF(C290="","",VLOOKUP(MONTH(C290),'03_Lookup'!A:B,2,FALSE))</f>
        <v/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5" x14ac:dyDescent="0.25">
      <c r="A291" s="5">
        <v>288</v>
      </c>
      <c r="B291" s="6">
        <v>45371</v>
      </c>
      <c r="C291" s="4" t="s">
        <v>44</v>
      </c>
      <c r="D291" s="4" t="s">
        <v>45</v>
      </c>
      <c r="E291" s="4" t="s">
        <v>48</v>
      </c>
      <c r="F291" s="4" t="s">
        <v>49</v>
      </c>
      <c r="G291" s="4" t="s">
        <v>135</v>
      </c>
      <c r="H291" s="4" t="s">
        <v>44</v>
      </c>
      <c r="I291" s="4">
        <f t="shared" si="2"/>
        <v>12</v>
      </c>
      <c r="J291" s="4" t="str">
        <f t="shared" si="3"/>
        <v/>
      </c>
      <c r="K291" s="4" t="str">
        <f>VLOOKUP(MONTH(B291),'03_Lookup'!A:B,2,FALSE)</f>
        <v>Mar</v>
      </c>
      <c r="L291" s="4" t="str">
        <f>IF(C291="","",VLOOKUP(MONTH(C291),'03_Lookup'!A:B,2,FALSE))</f>
        <v/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5" x14ac:dyDescent="0.25">
      <c r="A292" s="5">
        <v>289</v>
      </c>
      <c r="B292" s="6">
        <v>45320</v>
      </c>
      <c r="C292" s="4" t="s">
        <v>44</v>
      </c>
      <c r="D292" s="4" t="s">
        <v>45</v>
      </c>
      <c r="E292" s="4" t="s">
        <v>46</v>
      </c>
      <c r="F292" s="4" t="s">
        <v>47</v>
      </c>
      <c r="G292" s="4" t="s">
        <v>136</v>
      </c>
      <c r="H292" s="4" t="s">
        <v>44</v>
      </c>
      <c r="I292" s="4">
        <f t="shared" si="2"/>
        <v>5</v>
      </c>
      <c r="J292" s="4" t="str">
        <f t="shared" si="3"/>
        <v/>
      </c>
      <c r="K292" s="4" t="str">
        <f>VLOOKUP(MONTH(B292),'03_Lookup'!A:B,2,FALSE)</f>
        <v>Jan</v>
      </c>
      <c r="L292" s="4" t="str">
        <f>IF(C292="","",VLOOKUP(MONTH(C292),'03_Lookup'!A:B,2,FALSE))</f>
        <v/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5" x14ac:dyDescent="0.25">
      <c r="A293" s="5">
        <v>290</v>
      </c>
      <c r="B293" s="6">
        <v>45312</v>
      </c>
      <c r="C293" s="6">
        <v>45321</v>
      </c>
      <c r="D293" s="4" t="s">
        <v>50</v>
      </c>
      <c r="E293" s="4" t="s">
        <v>46</v>
      </c>
      <c r="F293" s="4" t="s">
        <v>47</v>
      </c>
      <c r="G293" s="4" t="s">
        <v>135</v>
      </c>
      <c r="H293" s="5">
        <v>216</v>
      </c>
      <c r="I293" s="4">
        <f t="shared" si="2"/>
        <v>3</v>
      </c>
      <c r="J293" s="4">
        <f t="shared" si="3"/>
        <v>5</v>
      </c>
      <c r="K293" s="4" t="str">
        <f>VLOOKUP(MONTH(B293),'03_Lookup'!A:B,2,FALSE)</f>
        <v>Jan</v>
      </c>
      <c r="L293" s="4" t="str">
        <f>IF(C293="","",VLOOKUP(MONTH(C293),'03_Lookup'!A:B,2,FALSE))</f>
        <v>Jan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5" x14ac:dyDescent="0.25">
      <c r="A294" s="5">
        <v>291</v>
      </c>
      <c r="B294" s="6">
        <v>45359</v>
      </c>
      <c r="C294" s="4" t="s">
        <v>44</v>
      </c>
      <c r="D294" s="4" t="s">
        <v>45</v>
      </c>
      <c r="E294" s="4" t="s">
        <v>46</v>
      </c>
      <c r="F294" s="4" t="s">
        <v>51</v>
      </c>
      <c r="G294" s="4" t="s">
        <v>136</v>
      </c>
      <c r="H294" s="4" t="s">
        <v>44</v>
      </c>
      <c r="I294" s="4">
        <f t="shared" si="2"/>
        <v>10</v>
      </c>
      <c r="J294" s="4" t="str">
        <f t="shared" si="3"/>
        <v/>
      </c>
      <c r="K294" s="4" t="str">
        <f>VLOOKUP(MONTH(B294),'03_Lookup'!A:B,2,FALSE)</f>
        <v>Mar</v>
      </c>
      <c r="L294" s="4" t="str">
        <f>IF(C294="","",VLOOKUP(MONTH(C294),'03_Lookup'!A:B,2,FALSE))</f>
        <v/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5" x14ac:dyDescent="0.25">
      <c r="A295" s="5">
        <v>292</v>
      </c>
      <c r="B295" s="6">
        <v>45308</v>
      </c>
      <c r="C295" s="4" t="s">
        <v>44</v>
      </c>
      <c r="D295" s="4" t="s">
        <v>45</v>
      </c>
      <c r="E295" s="4" t="s">
        <v>46</v>
      </c>
      <c r="F295" s="4" t="s">
        <v>49</v>
      </c>
      <c r="G295" s="4" t="s">
        <v>136</v>
      </c>
      <c r="H295" s="4" t="s">
        <v>44</v>
      </c>
      <c r="I295" s="4">
        <f t="shared" si="2"/>
        <v>3</v>
      </c>
      <c r="J295" s="4" t="str">
        <f t="shared" si="3"/>
        <v/>
      </c>
      <c r="K295" s="4" t="str">
        <f>VLOOKUP(MONTH(B295),'03_Lookup'!A:B,2,FALSE)</f>
        <v>Jan</v>
      </c>
      <c r="L295" s="4" t="str">
        <f>IF(C295="","",VLOOKUP(MONTH(C295),'03_Lookup'!A:B,2,FALSE))</f>
        <v/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5" x14ac:dyDescent="0.25">
      <c r="A296" s="5">
        <v>293</v>
      </c>
      <c r="B296" s="6">
        <v>45310</v>
      </c>
      <c r="C296" s="6">
        <v>45314</v>
      </c>
      <c r="D296" s="4" t="s">
        <v>50</v>
      </c>
      <c r="E296" s="4" t="s">
        <v>46</v>
      </c>
      <c r="F296" s="4" t="s">
        <v>51</v>
      </c>
      <c r="G296" s="4" t="s">
        <v>135</v>
      </c>
      <c r="H296" s="5">
        <v>96</v>
      </c>
      <c r="I296" s="4">
        <f t="shared" si="2"/>
        <v>3</v>
      </c>
      <c r="J296" s="4">
        <f t="shared" si="3"/>
        <v>4</v>
      </c>
      <c r="K296" s="4" t="str">
        <f>VLOOKUP(MONTH(B296),'03_Lookup'!A:B,2,FALSE)</f>
        <v>Jan</v>
      </c>
      <c r="L296" s="4" t="str">
        <f>IF(C296="","",VLOOKUP(MONTH(C296),'03_Lookup'!A:B,2,FALSE))</f>
        <v>Jan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5" x14ac:dyDescent="0.25">
      <c r="A297" s="5">
        <v>294</v>
      </c>
      <c r="B297" s="6">
        <v>45294</v>
      </c>
      <c r="C297" s="7"/>
      <c r="D297" s="4" t="s">
        <v>45</v>
      </c>
      <c r="E297" s="4" t="s">
        <v>46</v>
      </c>
      <c r="F297" s="4" t="s">
        <v>47</v>
      </c>
      <c r="G297" s="4" t="s">
        <v>135</v>
      </c>
      <c r="H297" s="4"/>
      <c r="I297" s="4">
        <f t="shared" si="2"/>
        <v>1</v>
      </c>
      <c r="J297" s="4" t="str">
        <f t="shared" si="3"/>
        <v/>
      </c>
      <c r="K297" s="4" t="str">
        <f>VLOOKUP(MONTH(B297),'03_Lookup'!A:B,2,FALSE)</f>
        <v>Jan</v>
      </c>
      <c r="L297" s="4" t="str">
        <f>IF(C297="","",VLOOKUP(MONTH(C297),'03_Lookup'!A:B,2,FALSE))</f>
        <v/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5" x14ac:dyDescent="0.25">
      <c r="A298" s="5">
        <v>295</v>
      </c>
      <c r="B298" s="6">
        <v>45344</v>
      </c>
      <c r="C298" s="4" t="s">
        <v>44</v>
      </c>
      <c r="D298" s="4" t="s">
        <v>45</v>
      </c>
      <c r="E298" s="4" t="s">
        <v>46</v>
      </c>
      <c r="F298" s="4" t="s">
        <v>51</v>
      </c>
      <c r="G298" s="4" t="s">
        <v>136</v>
      </c>
      <c r="H298" s="4" t="s">
        <v>44</v>
      </c>
      <c r="I298" s="4">
        <f t="shared" si="2"/>
        <v>8</v>
      </c>
      <c r="J298" s="4" t="str">
        <f t="shared" si="3"/>
        <v/>
      </c>
      <c r="K298" s="4" t="str">
        <f>VLOOKUP(MONTH(B298),'03_Lookup'!A:B,2,FALSE)</f>
        <v>Feb</v>
      </c>
      <c r="L298" s="4" t="str">
        <f>IF(C298="","",VLOOKUP(MONTH(C298),'03_Lookup'!A:B,2,FALSE))</f>
        <v/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5" x14ac:dyDescent="0.25">
      <c r="A299" s="5">
        <v>296</v>
      </c>
      <c r="B299" s="6">
        <v>45377</v>
      </c>
      <c r="C299" s="6">
        <v>45384</v>
      </c>
      <c r="D299" s="4" t="s">
        <v>50</v>
      </c>
      <c r="E299" s="4" t="s">
        <v>48</v>
      </c>
      <c r="F299" s="4" t="s">
        <v>47</v>
      </c>
      <c r="G299" s="4" t="s">
        <v>136</v>
      </c>
      <c r="H299" s="5">
        <v>168</v>
      </c>
      <c r="I299" s="4">
        <f t="shared" si="2"/>
        <v>13</v>
      </c>
      <c r="J299" s="4">
        <f t="shared" si="3"/>
        <v>14</v>
      </c>
      <c r="K299" s="4" t="str">
        <f>VLOOKUP(MONTH(B299),'03_Lookup'!A:B,2,FALSE)</f>
        <v>Mar</v>
      </c>
      <c r="L299" s="4" t="str">
        <f>IF(C299="","",VLOOKUP(MONTH(C299),'03_Lookup'!A:B,2,FALSE))</f>
        <v>Apr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5" x14ac:dyDescent="0.25">
      <c r="A300" s="5">
        <v>297</v>
      </c>
      <c r="B300" s="6">
        <v>45353</v>
      </c>
      <c r="C300" s="4" t="s">
        <v>44</v>
      </c>
      <c r="D300" s="4" t="s">
        <v>45</v>
      </c>
      <c r="E300" s="4" t="s">
        <v>46</v>
      </c>
      <c r="F300" s="4" t="s">
        <v>47</v>
      </c>
      <c r="G300" s="4" t="s">
        <v>135</v>
      </c>
      <c r="H300" s="4" t="s">
        <v>44</v>
      </c>
      <c r="I300" s="4">
        <f t="shared" si="2"/>
        <v>9</v>
      </c>
      <c r="J300" s="4" t="str">
        <f t="shared" si="3"/>
        <v/>
      </c>
      <c r="K300" s="4" t="str">
        <f>VLOOKUP(MONTH(B300),'03_Lookup'!A:B,2,FALSE)</f>
        <v>Mar</v>
      </c>
      <c r="L300" s="4" t="str">
        <f>IF(C300="","",VLOOKUP(MONTH(C300),'03_Lookup'!A:B,2,FALSE))</f>
        <v/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5" x14ac:dyDescent="0.25">
      <c r="A301" s="5">
        <v>298</v>
      </c>
      <c r="B301" s="6">
        <v>45370</v>
      </c>
      <c r="C301" s="4" t="s">
        <v>44</v>
      </c>
      <c r="D301" s="4" t="s">
        <v>45</v>
      </c>
      <c r="E301" s="4" t="s">
        <v>48</v>
      </c>
      <c r="F301" s="4" t="s">
        <v>49</v>
      </c>
      <c r="G301" s="4" t="s">
        <v>136</v>
      </c>
      <c r="H301" s="4" t="s">
        <v>44</v>
      </c>
      <c r="I301" s="4">
        <f t="shared" si="2"/>
        <v>12</v>
      </c>
      <c r="J301" s="4" t="str">
        <f t="shared" si="3"/>
        <v/>
      </c>
      <c r="K301" s="4" t="str">
        <f>VLOOKUP(MONTH(B301),'03_Lookup'!A:B,2,FALSE)</f>
        <v>Mar</v>
      </c>
      <c r="L301" s="4" t="str">
        <f>IF(C301="","",VLOOKUP(MONTH(C301),'03_Lookup'!A:B,2,FALSE))</f>
        <v/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5" x14ac:dyDescent="0.25">
      <c r="A302" s="5">
        <v>299</v>
      </c>
      <c r="B302" s="6">
        <v>45347</v>
      </c>
      <c r="C302" s="6">
        <v>45355</v>
      </c>
      <c r="D302" s="4" t="s">
        <v>50</v>
      </c>
      <c r="E302" s="4" t="s">
        <v>46</v>
      </c>
      <c r="F302" s="4" t="s">
        <v>51</v>
      </c>
      <c r="G302" s="4" t="s">
        <v>136</v>
      </c>
      <c r="H302" s="5">
        <v>192</v>
      </c>
      <c r="I302" s="4">
        <f t="shared" si="2"/>
        <v>8</v>
      </c>
      <c r="J302" s="4">
        <f t="shared" si="3"/>
        <v>10</v>
      </c>
      <c r="K302" s="4" t="str">
        <f>VLOOKUP(MONTH(B302),'03_Lookup'!A:B,2,FALSE)</f>
        <v>Feb</v>
      </c>
      <c r="L302" s="4" t="str">
        <f>IF(C302="","",VLOOKUP(MONTH(C302),'03_Lookup'!A:B,2,FALSE))</f>
        <v>Mar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5" x14ac:dyDescent="0.25">
      <c r="A303" s="5">
        <v>300</v>
      </c>
      <c r="B303" s="6">
        <v>45382</v>
      </c>
      <c r="C303" s="7"/>
      <c r="D303" s="4" t="s">
        <v>45</v>
      </c>
      <c r="E303" s="4" t="s">
        <v>46</v>
      </c>
      <c r="F303" s="4" t="s">
        <v>49</v>
      </c>
      <c r="G303" s="4" t="s">
        <v>135</v>
      </c>
      <c r="H303" s="4"/>
      <c r="I303" s="4">
        <f t="shared" si="2"/>
        <v>13</v>
      </c>
      <c r="J303" s="4" t="str">
        <f t="shared" si="3"/>
        <v/>
      </c>
      <c r="K303" s="4" t="str">
        <f>VLOOKUP(MONTH(B303),'03_Lookup'!A:B,2,FALSE)</f>
        <v>Mar</v>
      </c>
      <c r="L303" s="4" t="str">
        <f>IF(C303="","",VLOOKUP(MONTH(C303),'03_Lookup'!A:B,2,FALSE))</f>
        <v/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5" x14ac:dyDescent="0.25">
      <c r="A304" s="5">
        <v>301</v>
      </c>
      <c r="B304" s="6">
        <v>45338</v>
      </c>
      <c r="C304" s="4" t="s">
        <v>44</v>
      </c>
      <c r="D304" s="4" t="s">
        <v>45</v>
      </c>
      <c r="E304" s="4" t="s">
        <v>46</v>
      </c>
      <c r="F304" s="4" t="s">
        <v>51</v>
      </c>
      <c r="G304" s="4" t="s">
        <v>136</v>
      </c>
      <c r="H304" s="4" t="s">
        <v>44</v>
      </c>
      <c r="I304" s="4">
        <f t="shared" si="2"/>
        <v>7</v>
      </c>
      <c r="J304" s="4" t="str">
        <f t="shared" si="3"/>
        <v/>
      </c>
      <c r="K304" s="4" t="str">
        <f>VLOOKUP(MONTH(B304),'03_Lookup'!A:B,2,FALSE)</f>
        <v>Feb</v>
      </c>
      <c r="L304" s="4" t="str">
        <f>IF(C304="","",VLOOKUP(MONTH(C304),'03_Lookup'!A:B,2,FALSE))</f>
        <v/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5" x14ac:dyDescent="0.25">
      <c r="A305" s="5">
        <v>302</v>
      </c>
      <c r="B305" s="6">
        <v>45372</v>
      </c>
      <c r="C305" s="4" t="s">
        <v>44</v>
      </c>
      <c r="D305" s="4" t="s">
        <v>45</v>
      </c>
      <c r="E305" s="4" t="s">
        <v>48</v>
      </c>
      <c r="F305" s="4" t="s">
        <v>47</v>
      </c>
      <c r="G305" s="4" t="s">
        <v>136</v>
      </c>
      <c r="H305" s="4" t="s">
        <v>44</v>
      </c>
      <c r="I305" s="4">
        <f t="shared" si="2"/>
        <v>12</v>
      </c>
      <c r="J305" s="4" t="str">
        <f t="shared" si="3"/>
        <v/>
      </c>
      <c r="K305" s="4" t="str">
        <f>VLOOKUP(MONTH(B305),'03_Lookup'!A:B,2,FALSE)</f>
        <v>Mar</v>
      </c>
      <c r="L305" s="4" t="str">
        <f>IF(C305="","",VLOOKUP(MONTH(C305),'03_Lookup'!A:B,2,FALSE))</f>
        <v/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5" x14ac:dyDescent="0.25">
      <c r="A306" s="5">
        <v>303</v>
      </c>
      <c r="B306" s="6">
        <v>45300</v>
      </c>
      <c r="C306" s="4" t="s">
        <v>44</v>
      </c>
      <c r="D306" s="4" t="s">
        <v>45</v>
      </c>
      <c r="E306" s="4" t="s">
        <v>46</v>
      </c>
      <c r="F306" s="4" t="s">
        <v>47</v>
      </c>
      <c r="G306" s="4" t="s">
        <v>136</v>
      </c>
      <c r="H306" s="4" t="s">
        <v>44</v>
      </c>
      <c r="I306" s="4">
        <f t="shared" si="2"/>
        <v>2</v>
      </c>
      <c r="J306" s="4" t="str">
        <f t="shared" si="3"/>
        <v/>
      </c>
      <c r="K306" s="4" t="str">
        <f>VLOOKUP(MONTH(B306),'03_Lookup'!A:B,2,FALSE)</f>
        <v>Jan</v>
      </c>
      <c r="L306" s="4" t="str">
        <f>IF(C306="","",VLOOKUP(MONTH(C306),'03_Lookup'!A:B,2,FALSE))</f>
        <v/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5" x14ac:dyDescent="0.25">
      <c r="A307" s="5">
        <v>304</v>
      </c>
      <c r="B307" s="6">
        <v>45358</v>
      </c>
      <c r="C307" s="4" t="s">
        <v>44</v>
      </c>
      <c r="D307" s="4" t="s">
        <v>45</v>
      </c>
      <c r="E307" s="4" t="s">
        <v>48</v>
      </c>
      <c r="F307" s="4" t="s">
        <v>47</v>
      </c>
      <c r="G307" s="4" t="s">
        <v>136</v>
      </c>
      <c r="H307" s="4" t="s">
        <v>44</v>
      </c>
      <c r="I307" s="4">
        <f t="shared" si="2"/>
        <v>10</v>
      </c>
      <c r="J307" s="4" t="str">
        <f t="shared" si="3"/>
        <v/>
      </c>
      <c r="K307" s="4" t="str">
        <f>VLOOKUP(MONTH(B307),'03_Lookup'!A:B,2,FALSE)</f>
        <v>Mar</v>
      </c>
      <c r="L307" s="4" t="str">
        <f>IF(C307="","",VLOOKUP(MONTH(C307),'03_Lookup'!A:B,2,FALSE))</f>
        <v/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5" x14ac:dyDescent="0.25">
      <c r="A308" s="5">
        <v>305</v>
      </c>
      <c r="B308" s="6">
        <v>45317</v>
      </c>
      <c r="C308" s="4" t="s">
        <v>44</v>
      </c>
      <c r="D308" s="4" t="s">
        <v>45</v>
      </c>
      <c r="E308" s="4" t="s">
        <v>46</v>
      </c>
      <c r="F308" s="4" t="s">
        <v>47</v>
      </c>
      <c r="G308" s="4" t="s">
        <v>136</v>
      </c>
      <c r="H308" s="4" t="s">
        <v>44</v>
      </c>
      <c r="I308" s="4">
        <f t="shared" si="2"/>
        <v>4</v>
      </c>
      <c r="J308" s="4" t="str">
        <f t="shared" si="3"/>
        <v/>
      </c>
      <c r="K308" s="4" t="str">
        <f>VLOOKUP(MONTH(B308),'03_Lookup'!A:B,2,FALSE)</f>
        <v>Jan</v>
      </c>
      <c r="L308" s="4" t="str">
        <f>IF(C308="","",VLOOKUP(MONTH(C308),'03_Lookup'!A:B,2,FALSE))</f>
        <v/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5" x14ac:dyDescent="0.25">
      <c r="A309" s="5">
        <v>306</v>
      </c>
      <c r="B309" s="6">
        <v>45297</v>
      </c>
      <c r="C309" s="4" t="s">
        <v>44</v>
      </c>
      <c r="D309" s="4" t="s">
        <v>45</v>
      </c>
      <c r="E309" s="4" t="s">
        <v>48</v>
      </c>
      <c r="F309" s="4" t="s">
        <v>51</v>
      </c>
      <c r="G309" s="4" t="s">
        <v>136</v>
      </c>
      <c r="H309" s="4" t="s">
        <v>44</v>
      </c>
      <c r="I309" s="4">
        <f t="shared" si="2"/>
        <v>1</v>
      </c>
      <c r="J309" s="4" t="str">
        <f t="shared" si="3"/>
        <v/>
      </c>
      <c r="K309" s="4" t="str">
        <f>VLOOKUP(MONTH(B309),'03_Lookup'!A:B,2,FALSE)</f>
        <v>Jan</v>
      </c>
      <c r="L309" s="4" t="str">
        <f>IF(C309="","",VLOOKUP(MONTH(C309),'03_Lookup'!A:B,2,FALSE))</f>
        <v/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5" x14ac:dyDescent="0.25">
      <c r="A310" s="5">
        <v>307</v>
      </c>
      <c r="B310" s="6">
        <v>45381</v>
      </c>
      <c r="C310" s="4" t="s">
        <v>44</v>
      </c>
      <c r="D310" s="4" t="s">
        <v>45</v>
      </c>
      <c r="E310" s="4" t="s">
        <v>46</v>
      </c>
      <c r="F310" s="4" t="s">
        <v>47</v>
      </c>
      <c r="G310" s="4" t="s">
        <v>136</v>
      </c>
      <c r="H310" s="4" t="s">
        <v>44</v>
      </c>
      <c r="I310" s="4">
        <f t="shared" si="2"/>
        <v>13</v>
      </c>
      <c r="J310" s="4" t="str">
        <f t="shared" si="3"/>
        <v/>
      </c>
      <c r="K310" s="4" t="str">
        <f>VLOOKUP(MONTH(B310),'03_Lookup'!A:B,2,FALSE)</f>
        <v>Mar</v>
      </c>
      <c r="L310" s="4" t="str">
        <f>IF(C310="","",VLOOKUP(MONTH(C310),'03_Lookup'!A:B,2,FALSE))</f>
        <v/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5" x14ac:dyDescent="0.25">
      <c r="A311" s="5">
        <v>308</v>
      </c>
      <c r="B311" s="6">
        <v>45302</v>
      </c>
      <c r="C311" s="4" t="s">
        <v>44</v>
      </c>
      <c r="D311" s="4" t="s">
        <v>45</v>
      </c>
      <c r="E311" s="4" t="s">
        <v>46</v>
      </c>
      <c r="F311" s="4" t="s">
        <v>47</v>
      </c>
      <c r="G311" s="4" t="s">
        <v>135</v>
      </c>
      <c r="H311" s="4" t="s">
        <v>44</v>
      </c>
      <c r="I311" s="4">
        <f t="shared" si="2"/>
        <v>2</v>
      </c>
      <c r="J311" s="4" t="str">
        <f t="shared" si="3"/>
        <v/>
      </c>
      <c r="K311" s="4" t="str">
        <f>VLOOKUP(MONTH(B311),'03_Lookup'!A:B,2,FALSE)</f>
        <v>Jan</v>
      </c>
      <c r="L311" s="4" t="str">
        <f>IF(C311="","",VLOOKUP(MONTH(C311),'03_Lookup'!A:B,2,FALSE))</f>
        <v/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5" x14ac:dyDescent="0.25">
      <c r="A312" s="5">
        <v>309</v>
      </c>
      <c r="B312" s="6">
        <v>45382</v>
      </c>
      <c r="C312" s="4" t="s">
        <v>44</v>
      </c>
      <c r="D312" s="4" t="s">
        <v>45</v>
      </c>
      <c r="E312" s="4" t="s">
        <v>48</v>
      </c>
      <c r="F312" s="4" t="s">
        <v>49</v>
      </c>
      <c r="G312" s="4" t="s">
        <v>135</v>
      </c>
      <c r="H312" s="4" t="s">
        <v>44</v>
      </c>
      <c r="I312" s="4">
        <f t="shared" si="2"/>
        <v>13</v>
      </c>
      <c r="J312" s="4" t="str">
        <f t="shared" si="3"/>
        <v/>
      </c>
      <c r="K312" s="4" t="str">
        <f>VLOOKUP(MONTH(B312),'03_Lookup'!A:B,2,FALSE)</f>
        <v>Mar</v>
      </c>
      <c r="L312" s="4" t="str">
        <f>IF(C312="","",VLOOKUP(MONTH(C312),'03_Lookup'!A:B,2,FALSE))</f>
        <v/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5" x14ac:dyDescent="0.25">
      <c r="A313" s="5">
        <v>310</v>
      </c>
      <c r="B313" s="6">
        <v>45345</v>
      </c>
      <c r="C313" s="4" t="s">
        <v>44</v>
      </c>
      <c r="D313" s="4" t="s">
        <v>45</v>
      </c>
      <c r="E313" s="4" t="s">
        <v>48</v>
      </c>
      <c r="F313" s="4" t="s">
        <v>47</v>
      </c>
      <c r="G313" s="4" t="s">
        <v>136</v>
      </c>
      <c r="H313" s="4" t="s">
        <v>44</v>
      </c>
      <c r="I313" s="4">
        <f t="shared" si="2"/>
        <v>8</v>
      </c>
      <c r="J313" s="4" t="str">
        <f t="shared" si="3"/>
        <v/>
      </c>
      <c r="K313" s="4" t="str">
        <f>VLOOKUP(MONTH(B313),'03_Lookup'!A:B,2,FALSE)</f>
        <v>Feb</v>
      </c>
      <c r="L313" s="4" t="str">
        <f>IF(C313="","",VLOOKUP(MONTH(C313),'03_Lookup'!A:B,2,FALSE))</f>
        <v/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5" x14ac:dyDescent="0.25">
      <c r="A314" s="5">
        <v>311</v>
      </c>
      <c r="B314" s="6">
        <v>45352</v>
      </c>
      <c r="C314" s="4" t="s">
        <v>44</v>
      </c>
      <c r="D314" s="4" t="s">
        <v>45</v>
      </c>
      <c r="E314" s="4" t="s">
        <v>48</v>
      </c>
      <c r="F314" s="4" t="s">
        <v>47</v>
      </c>
      <c r="G314" s="4" t="s">
        <v>135</v>
      </c>
      <c r="H314" s="4" t="s">
        <v>44</v>
      </c>
      <c r="I314" s="4">
        <f t="shared" si="2"/>
        <v>9</v>
      </c>
      <c r="J314" s="4" t="str">
        <f t="shared" si="3"/>
        <v/>
      </c>
      <c r="K314" s="4" t="str">
        <f>VLOOKUP(MONTH(B314),'03_Lookup'!A:B,2,FALSE)</f>
        <v>Mar</v>
      </c>
      <c r="L314" s="4" t="str">
        <f>IF(C314="","",VLOOKUP(MONTH(C314),'03_Lookup'!A:B,2,FALSE))</f>
        <v/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5" x14ac:dyDescent="0.25">
      <c r="A315" s="5">
        <v>312</v>
      </c>
      <c r="B315" s="6">
        <v>45294</v>
      </c>
      <c r="C315" s="6">
        <v>45303</v>
      </c>
      <c r="D315" s="4" t="s">
        <v>50</v>
      </c>
      <c r="E315" s="4" t="s">
        <v>48</v>
      </c>
      <c r="F315" s="4" t="s">
        <v>47</v>
      </c>
      <c r="G315" s="4" t="s">
        <v>135</v>
      </c>
      <c r="H315" s="5">
        <v>216</v>
      </c>
      <c r="I315" s="4">
        <f t="shared" si="2"/>
        <v>1</v>
      </c>
      <c r="J315" s="4">
        <f t="shared" si="3"/>
        <v>2</v>
      </c>
      <c r="K315" s="4" t="str">
        <f>VLOOKUP(MONTH(B315),'03_Lookup'!A:B,2,FALSE)</f>
        <v>Jan</v>
      </c>
      <c r="L315" s="4" t="str">
        <f>IF(C315="","",VLOOKUP(MONTH(C315),'03_Lookup'!A:B,2,FALSE))</f>
        <v>Jan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5" x14ac:dyDescent="0.25">
      <c r="A316" s="5">
        <v>313</v>
      </c>
      <c r="B316" s="6">
        <v>45343</v>
      </c>
      <c r="C316" s="6">
        <v>45346</v>
      </c>
      <c r="D316" s="4" t="s">
        <v>50</v>
      </c>
      <c r="E316" s="4" t="s">
        <v>48</v>
      </c>
      <c r="F316" s="4" t="s">
        <v>49</v>
      </c>
      <c r="G316" s="4" t="s">
        <v>136</v>
      </c>
      <c r="H316" s="5">
        <v>72</v>
      </c>
      <c r="I316" s="4">
        <f t="shared" si="2"/>
        <v>8</v>
      </c>
      <c r="J316" s="4">
        <f t="shared" si="3"/>
        <v>8</v>
      </c>
      <c r="K316" s="4" t="str">
        <f>VLOOKUP(MONTH(B316),'03_Lookup'!A:B,2,FALSE)</f>
        <v>Feb</v>
      </c>
      <c r="L316" s="4" t="str">
        <f>IF(C316="","",VLOOKUP(MONTH(C316),'03_Lookup'!A:B,2,FALSE))</f>
        <v>Feb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5" x14ac:dyDescent="0.25">
      <c r="A317" s="5">
        <v>314</v>
      </c>
      <c r="B317" s="6">
        <v>45323</v>
      </c>
      <c r="C317" s="6">
        <v>45329</v>
      </c>
      <c r="D317" s="4" t="s">
        <v>50</v>
      </c>
      <c r="E317" s="4" t="s">
        <v>46</v>
      </c>
      <c r="F317" s="4" t="s">
        <v>47</v>
      </c>
      <c r="G317" s="4" t="s">
        <v>136</v>
      </c>
      <c r="H317" s="5">
        <v>144</v>
      </c>
      <c r="I317" s="4">
        <f t="shared" si="2"/>
        <v>5</v>
      </c>
      <c r="J317" s="4">
        <f t="shared" si="3"/>
        <v>6</v>
      </c>
      <c r="K317" s="4" t="str">
        <f>VLOOKUP(MONTH(B317),'03_Lookup'!A:B,2,FALSE)</f>
        <v>Feb</v>
      </c>
      <c r="L317" s="4" t="str">
        <f>IF(C317="","",VLOOKUP(MONTH(C317),'03_Lookup'!A:B,2,FALSE))</f>
        <v>Feb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5" x14ac:dyDescent="0.25">
      <c r="A318" s="5">
        <v>315</v>
      </c>
      <c r="B318" s="6">
        <v>45307</v>
      </c>
      <c r="C318" s="4" t="s">
        <v>44</v>
      </c>
      <c r="D318" s="4" t="s">
        <v>45</v>
      </c>
      <c r="E318" s="4" t="s">
        <v>48</v>
      </c>
      <c r="F318" s="4" t="s">
        <v>47</v>
      </c>
      <c r="G318" s="4" t="s">
        <v>135</v>
      </c>
      <c r="H318" s="4" t="s">
        <v>44</v>
      </c>
      <c r="I318" s="4">
        <f t="shared" si="2"/>
        <v>3</v>
      </c>
      <c r="J318" s="4" t="str">
        <f t="shared" si="3"/>
        <v/>
      </c>
      <c r="K318" s="4" t="str">
        <f>VLOOKUP(MONTH(B318),'03_Lookup'!A:B,2,FALSE)</f>
        <v>Jan</v>
      </c>
      <c r="L318" s="4" t="str">
        <f>IF(C318="","",VLOOKUP(MONTH(C318),'03_Lookup'!A:B,2,FALSE))</f>
        <v/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5" x14ac:dyDescent="0.25">
      <c r="A319" s="5">
        <v>316</v>
      </c>
      <c r="B319" s="6">
        <v>45355</v>
      </c>
      <c r="C319" s="4" t="s">
        <v>44</v>
      </c>
      <c r="D319" s="4" t="s">
        <v>45</v>
      </c>
      <c r="E319" s="4" t="s">
        <v>48</v>
      </c>
      <c r="F319" s="4" t="s">
        <v>47</v>
      </c>
      <c r="G319" s="4" t="s">
        <v>136</v>
      </c>
      <c r="H319" s="4" t="s">
        <v>44</v>
      </c>
      <c r="I319" s="4">
        <f t="shared" si="2"/>
        <v>10</v>
      </c>
      <c r="J319" s="4" t="str">
        <f t="shared" si="3"/>
        <v/>
      </c>
      <c r="K319" s="4" t="str">
        <f>VLOOKUP(MONTH(B319),'03_Lookup'!A:B,2,FALSE)</f>
        <v>Mar</v>
      </c>
      <c r="L319" s="4" t="str">
        <f>IF(C319="","",VLOOKUP(MONTH(C319),'03_Lookup'!A:B,2,FALSE))</f>
        <v/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5" x14ac:dyDescent="0.25">
      <c r="A320" s="5">
        <v>317</v>
      </c>
      <c r="B320" s="6">
        <v>45314</v>
      </c>
      <c r="C320" s="6">
        <v>45324</v>
      </c>
      <c r="D320" s="4" t="s">
        <v>50</v>
      </c>
      <c r="E320" s="4" t="s">
        <v>48</v>
      </c>
      <c r="F320" s="4" t="s">
        <v>47</v>
      </c>
      <c r="G320" s="4" t="s">
        <v>136</v>
      </c>
      <c r="H320" s="5">
        <v>240</v>
      </c>
      <c r="I320" s="4">
        <f t="shared" si="2"/>
        <v>4</v>
      </c>
      <c r="J320" s="4">
        <f t="shared" si="3"/>
        <v>5</v>
      </c>
      <c r="K320" s="4" t="str">
        <f>VLOOKUP(MONTH(B320),'03_Lookup'!A:B,2,FALSE)</f>
        <v>Jan</v>
      </c>
      <c r="L320" s="4" t="str">
        <f>IF(C320="","",VLOOKUP(MONTH(C320),'03_Lookup'!A:B,2,FALSE))</f>
        <v>Feb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5" x14ac:dyDescent="0.25">
      <c r="A321" s="5">
        <v>318</v>
      </c>
      <c r="B321" s="6">
        <v>45300</v>
      </c>
      <c r="C321" s="4" t="s">
        <v>44</v>
      </c>
      <c r="D321" s="4" t="s">
        <v>45</v>
      </c>
      <c r="E321" s="4" t="s">
        <v>48</v>
      </c>
      <c r="F321" s="4" t="s">
        <v>47</v>
      </c>
      <c r="G321" s="4" t="s">
        <v>136</v>
      </c>
      <c r="H321" s="4" t="s">
        <v>44</v>
      </c>
      <c r="I321" s="4">
        <f t="shared" si="2"/>
        <v>2</v>
      </c>
      <c r="J321" s="4" t="str">
        <f t="shared" si="3"/>
        <v/>
      </c>
      <c r="K321" s="4" t="str">
        <f>VLOOKUP(MONTH(B321),'03_Lookup'!A:B,2,FALSE)</f>
        <v>Jan</v>
      </c>
      <c r="L321" s="4" t="str">
        <f>IF(C321="","",VLOOKUP(MONTH(C321),'03_Lookup'!A:B,2,FALSE))</f>
        <v/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5" x14ac:dyDescent="0.25">
      <c r="A322" s="5">
        <v>319</v>
      </c>
      <c r="B322" s="6">
        <v>45335</v>
      </c>
      <c r="C322" s="4" t="s">
        <v>44</v>
      </c>
      <c r="D322" s="4" t="s">
        <v>45</v>
      </c>
      <c r="E322" s="4" t="s">
        <v>46</v>
      </c>
      <c r="F322" s="4" t="s">
        <v>49</v>
      </c>
      <c r="G322" s="4" t="s">
        <v>135</v>
      </c>
      <c r="H322" s="4" t="s">
        <v>44</v>
      </c>
      <c r="I322" s="4">
        <f t="shared" si="2"/>
        <v>7</v>
      </c>
      <c r="J322" s="4" t="str">
        <f t="shared" si="3"/>
        <v/>
      </c>
      <c r="K322" s="4" t="str">
        <f>VLOOKUP(MONTH(B322),'03_Lookup'!A:B,2,FALSE)</f>
        <v>Feb</v>
      </c>
      <c r="L322" s="4" t="str">
        <f>IF(C322="","",VLOOKUP(MONTH(C322),'03_Lookup'!A:B,2,FALSE))</f>
        <v/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5" x14ac:dyDescent="0.25">
      <c r="A323" s="5">
        <v>320</v>
      </c>
      <c r="B323" s="6">
        <v>45380</v>
      </c>
      <c r="C323" s="7"/>
      <c r="D323" s="4" t="s">
        <v>45</v>
      </c>
      <c r="E323" s="4" t="s">
        <v>46</v>
      </c>
      <c r="F323" s="4" t="s">
        <v>47</v>
      </c>
      <c r="G323" s="4" t="s">
        <v>135</v>
      </c>
      <c r="H323" s="4"/>
      <c r="I323" s="4">
        <f t="shared" si="2"/>
        <v>13</v>
      </c>
      <c r="J323" s="4" t="str">
        <f t="shared" si="3"/>
        <v/>
      </c>
      <c r="K323" s="4" t="str">
        <f>VLOOKUP(MONTH(B323),'03_Lookup'!A:B,2,FALSE)</f>
        <v>Mar</v>
      </c>
      <c r="L323" s="4" t="str">
        <f>IF(C323="","",VLOOKUP(MONTH(C323),'03_Lookup'!A:B,2,FALSE))</f>
        <v/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5" x14ac:dyDescent="0.25">
      <c r="A324" s="5">
        <v>321</v>
      </c>
      <c r="B324" s="6">
        <v>45308</v>
      </c>
      <c r="C324" s="4" t="s">
        <v>44</v>
      </c>
      <c r="D324" s="4" t="s">
        <v>45</v>
      </c>
      <c r="E324" s="4" t="s">
        <v>46</v>
      </c>
      <c r="F324" s="4" t="s">
        <v>47</v>
      </c>
      <c r="G324" s="4" t="s">
        <v>136</v>
      </c>
      <c r="H324" s="4" t="s">
        <v>44</v>
      </c>
      <c r="I324" s="4">
        <f t="shared" si="2"/>
        <v>3</v>
      </c>
      <c r="J324" s="4" t="str">
        <f t="shared" si="3"/>
        <v/>
      </c>
      <c r="K324" s="4" t="str">
        <f>VLOOKUP(MONTH(B324),'03_Lookup'!A:B,2,FALSE)</f>
        <v>Jan</v>
      </c>
      <c r="L324" s="4" t="str">
        <f>IF(C324="","",VLOOKUP(MONTH(C324),'03_Lookup'!A:B,2,FALSE))</f>
        <v/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5" x14ac:dyDescent="0.25">
      <c r="A325" s="5">
        <v>322</v>
      </c>
      <c r="B325" s="6">
        <v>45344</v>
      </c>
      <c r="C325" s="4" t="s">
        <v>44</v>
      </c>
      <c r="D325" s="4" t="s">
        <v>45</v>
      </c>
      <c r="E325" s="4" t="s">
        <v>48</v>
      </c>
      <c r="F325" s="4" t="s">
        <v>47</v>
      </c>
      <c r="G325" s="4" t="s">
        <v>136</v>
      </c>
      <c r="H325" s="4" t="s">
        <v>44</v>
      </c>
      <c r="I325" s="4">
        <f t="shared" si="2"/>
        <v>8</v>
      </c>
      <c r="J325" s="4" t="str">
        <f t="shared" si="3"/>
        <v/>
      </c>
      <c r="K325" s="4" t="str">
        <f>VLOOKUP(MONTH(B325),'03_Lookup'!A:B,2,FALSE)</f>
        <v>Feb</v>
      </c>
      <c r="L325" s="4" t="str">
        <f>IF(C325="","",VLOOKUP(MONTH(C325),'03_Lookup'!A:B,2,FALSE))</f>
        <v/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5" x14ac:dyDescent="0.25">
      <c r="A326" s="5">
        <v>323</v>
      </c>
      <c r="B326" s="6">
        <v>45295</v>
      </c>
      <c r="C326" s="6">
        <v>45303</v>
      </c>
      <c r="D326" s="4" t="s">
        <v>50</v>
      </c>
      <c r="E326" s="4" t="s">
        <v>48</v>
      </c>
      <c r="F326" s="4" t="s">
        <v>51</v>
      </c>
      <c r="G326" s="4" t="s">
        <v>136</v>
      </c>
      <c r="H326" s="5">
        <v>192</v>
      </c>
      <c r="I326" s="4">
        <f t="shared" si="2"/>
        <v>1</v>
      </c>
      <c r="J326" s="4">
        <f t="shared" si="3"/>
        <v>2</v>
      </c>
      <c r="K326" s="4" t="str">
        <f>VLOOKUP(MONTH(B326),'03_Lookup'!A:B,2,FALSE)</f>
        <v>Jan</v>
      </c>
      <c r="L326" s="4" t="str">
        <f>IF(C326="","",VLOOKUP(MONTH(C326),'03_Lookup'!A:B,2,FALSE))</f>
        <v>Jan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5" x14ac:dyDescent="0.25">
      <c r="A327" s="5">
        <v>324</v>
      </c>
      <c r="B327" s="6">
        <v>45293</v>
      </c>
      <c r="C327" s="4" t="s">
        <v>44</v>
      </c>
      <c r="D327" s="4" t="s">
        <v>45</v>
      </c>
      <c r="E327" s="4" t="s">
        <v>46</v>
      </c>
      <c r="F327" s="4" t="s">
        <v>47</v>
      </c>
      <c r="G327" s="4" t="s">
        <v>135</v>
      </c>
      <c r="H327" s="4" t="s">
        <v>44</v>
      </c>
      <c r="I327" s="4">
        <f t="shared" si="2"/>
        <v>1</v>
      </c>
      <c r="J327" s="4" t="str">
        <f t="shared" si="3"/>
        <v/>
      </c>
      <c r="K327" s="4" t="str">
        <f>VLOOKUP(MONTH(B327),'03_Lookup'!A:B,2,FALSE)</f>
        <v>Jan</v>
      </c>
      <c r="L327" s="4" t="str">
        <f>IF(C327="","",VLOOKUP(MONTH(C327),'03_Lookup'!A:B,2,FALSE))</f>
        <v/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5" x14ac:dyDescent="0.25">
      <c r="A328" s="5">
        <v>325</v>
      </c>
      <c r="B328" s="6">
        <v>45369</v>
      </c>
      <c r="C328" s="4" t="s">
        <v>44</v>
      </c>
      <c r="D328" s="4" t="s">
        <v>45</v>
      </c>
      <c r="E328" s="4" t="s">
        <v>46</v>
      </c>
      <c r="F328" s="4" t="s">
        <v>51</v>
      </c>
      <c r="G328" s="4" t="s">
        <v>136</v>
      </c>
      <c r="H328" s="4" t="s">
        <v>44</v>
      </c>
      <c r="I328" s="4">
        <f t="shared" si="2"/>
        <v>12</v>
      </c>
      <c r="J328" s="4" t="str">
        <f t="shared" si="3"/>
        <v/>
      </c>
      <c r="K328" s="4" t="str">
        <f>VLOOKUP(MONTH(B328),'03_Lookup'!A:B,2,FALSE)</f>
        <v>Mar</v>
      </c>
      <c r="L328" s="4" t="str">
        <f>IF(C328="","",VLOOKUP(MONTH(C328),'03_Lookup'!A:B,2,FALSE))</f>
        <v/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5" x14ac:dyDescent="0.25">
      <c r="A329" s="5">
        <v>326</v>
      </c>
      <c r="B329" s="6">
        <v>45298</v>
      </c>
      <c r="C329" s="6">
        <v>45304</v>
      </c>
      <c r="D329" s="4" t="s">
        <v>50</v>
      </c>
      <c r="E329" s="4" t="s">
        <v>46</v>
      </c>
      <c r="F329" s="4" t="s">
        <v>49</v>
      </c>
      <c r="G329" s="4" t="s">
        <v>136</v>
      </c>
      <c r="H329" s="5">
        <v>144</v>
      </c>
      <c r="I329" s="4">
        <f t="shared" si="2"/>
        <v>1</v>
      </c>
      <c r="J329" s="4">
        <f t="shared" si="3"/>
        <v>2</v>
      </c>
      <c r="K329" s="4" t="str">
        <f>VLOOKUP(MONTH(B329),'03_Lookup'!A:B,2,FALSE)</f>
        <v>Jan</v>
      </c>
      <c r="L329" s="4" t="str">
        <f>IF(C329="","",VLOOKUP(MONTH(C329),'03_Lookup'!A:B,2,FALSE))</f>
        <v>Jan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5" x14ac:dyDescent="0.25">
      <c r="A330" s="5">
        <v>327</v>
      </c>
      <c r="B330" s="6">
        <v>45372</v>
      </c>
      <c r="C330" s="6">
        <v>45380</v>
      </c>
      <c r="D330" s="4" t="s">
        <v>50</v>
      </c>
      <c r="E330" s="4" t="s">
        <v>48</v>
      </c>
      <c r="F330" s="4" t="s">
        <v>51</v>
      </c>
      <c r="G330" s="4" t="s">
        <v>136</v>
      </c>
      <c r="H330" s="5">
        <v>192</v>
      </c>
      <c r="I330" s="4">
        <f t="shared" si="2"/>
        <v>12</v>
      </c>
      <c r="J330" s="4">
        <f t="shared" si="3"/>
        <v>13</v>
      </c>
      <c r="K330" s="4" t="str">
        <f>VLOOKUP(MONTH(B330),'03_Lookup'!A:B,2,FALSE)</f>
        <v>Mar</v>
      </c>
      <c r="L330" s="4" t="str">
        <f>IF(C330="","",VLOOKUP(MONTH(C330),'03_Lookup'!A:B,2,FALSE))</f>
        <v>Mar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5" x14ac:dyDescent="0.25">
      <c r="A331" s="5">
        <v>328</v>
      </c>
      <c r="B331" s="6">
        <v>45379</v>
      </c>
      <c r="C331" s="4" t="s">
        <v>44</v>
      </c>
      <c r="D331" s="4" t="s">
        <v>45</v>
      </c>
      <c r="E331" s="4" t="s">
        <v>46</v>
      </c>
      <c r="F331" s="4" t="s">
        <v>47</v>
      </c>
      <c r="G331" s="4" t="s">
        <v>136</v>
      </c>
      <c r="H331" s="4" t="s">
        <v>44</v>
      </c>
      <c r="I331" s="4">
        <f t="shared" si="2"/>
        <v>13</v>
      </c>
      <c r="J331" s="4" t="str">
        <f t="shared" si="3"/>
        <v/>
      </c>
      <c r="K331" s="4" t="str">
        <f>VLOOKUP(MONTH(B331),'03_Lookup'!A:B,2,FALSE)</f>
        <v>Mar</v>
      </c>
      <c r="L331" s="4" t="str">
        <f>IF(C331="","",VLOOKUP(MONTH(C331),'03_Lookup'!A:B,2,FALSE))</f>
        <v/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5" x14ac:dyDescent="0.25">
      <c r="A332" s="5">
        <v>329</v>
      </c>
      <c r="B332" s="6">
        <v>45315</v>
      </c>
      <c r="C332" s="4" t="s">
        <v>44</v>
      </c>
      <c r="D332" s="4" t="s">
        <v>45</v>
      </c>
      <c r="E332" s="4" t="s">
        <v>46</v>
      </c>
      <c r="F332" s="4" t="s">
        <v>47</v>
      </c>
      <c r="G332" s="4" t="s">
        <v>136</v>
      </c>
      <c r="H332" s="4" t="s">
        <v>44</v>
      </c>
      <c r="I332" s="4">
        <f t="shared" si="2"/>
        <v>4</v>
      </c>
      <c r="J332" s="4" t="str">
        <f t="shared" si="3"/>
        <v/>
      </c>
      <c r="K332" s="4" t="str">
        <f>VLOOKUP(MONTH(B332),'03_Lookup'!A:B,2,FALSE)</f>
        <v>Jan</v>
      </c>
      <c r="L332" s="4" t="str">
        <f>IF(C332="","",VLOOKUP(MONTH(C332),'03_Lookup'!A:B,2,FALSE))</f>
        <v/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5" x14ac:dyDescent="0.25">
      <c r="A333" s="5">
        <v>330</v>
      </c>
      <c r="B333" s="6">
        <v>45295</v>
      </c>
      <c r="C333" s="4" t="s">
        <v>44</v>
      </c>
      <c r="D333" s="4" t="s">
        <v>45</v>
      </c>
      <c r="E333" s="4" t="s">
        <v>48</v>
      </c>
      <c r="F333" s="4" t="s">
        <v>49</v>
      </c>
      <c r="G333" s="4" t="s">
        <v>135</v>
      </c>
      <c r="H333" s="4" t="s">
        <v>44</v>
      </c>
      <c r="I333" s="4">
        <f t="shared" si="2"/>
        <v>1</v>
      </c>
      <c r="J333" s="4" t="str">
        <f t="shared" si="3"/>
        <v/>
      </c>
      <c r="K333" s="4" t="str">
        <f>VLOOKUP(MONTH(B333),'03_Lookup'!A:B,2,FALSE)</f>
        <v>Jan</v>
      </c>
      <c r="L333" s="4" t="str">
        <f>IF(C333="","",VLOOKUP(MONTH(C333),'03_Lookup'!A:B,2,FALSE))</f>
        <v/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5" x14ac:dyDescent="0.25">
      <c r="A334" s="5">
        <v>331</v>
      </c>
      <c r="B334" s="6">
        <v>45310</v>
      </c>
      <c r="C334" s="4" t="s">
        <v>44</v>
      </c>
      <c r="D334" s="4" t="s">
        <v>45</v>
      </c>
      <c r="E334" s="4" t="s">
        <v>48</v>
      </c>
      <c r="F334" s="4" t="s">
        <v>47</v>
      </c>
      <c r="G334" s="4" t="s">
        <v>135</v>
      </c>
      <c r="H334" s="4" t="s">
        <v>44</v>
      </c>
      <c r="I334" s="4">
        <f t="shared" si="2"/>
        <v>3</v>
      </c>
      <c r="J334" s="4" t="str">
        <f t="shared" si="3"/>
        <v/>
      </c>
      <c r="K334" s="4" t="str">
        <f>VLOOKUP(MONTH(B334),'03_Lookup'!A:B,2,FALSE)</f>
        <v>Jan</v>
      </c>
      <c r="L334" s="4" t="str">
        <f>IF(C334="","",VLOOKUP(MONTH(C334),'03_Lookup'!A:B,2,FALSE))</f>
        <v/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5" x14ac:dyDescent="0.25">
      <c r="A335" s="5">
        <v>332</v>
      </c>
      <c r="B335" s="6">
        <v>45312</v>
      </c>
      <c r="C335" s="4" t="s">
        <v>44</v>
      </c>
      <c r="D335" s="4" t="s">
        <v>45</v>
      </c>
      <c r="E335" s="4" t="s">
        <v>46</v>
      </c>
      <c r="F335" s="4" t="s">
        <v>49</v>
      </c>
      <c r="G335" s="4" t="s">
        <v>136</v>
      </c>
      <c r="H335" s="4" t="s">
        <v>44</v>
      </c>
      <c r="I335" s="4">
        <f t="shared" si="2"/>
        <v>3</v>
      </c>
      <c r="J335" s="4" t="str">
        <f t="shared" si="3"/>
        <v/>
      </c>
      <c r="K335" s="4" t="str">
        <f>VLOOKUP(MONTH(B335),'03_Lookup'!A:B,2,FALSE)</f>
        <v>Jan</v>
      </c>
      <c r="L335" s="4" t="str">
        <f>IF(C335="","",VLOOKUP(MONTH(C335),'03_Lookup'!A:B,2,FALSE))</f>
        <v/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5" x14ac:dyDescent="0.25">
      <c r="A336" s="5">
        <v>333</v>
      </c>
      <c r="B336" s="6">
        <v>45370</v>
      </c>
      <c r="C336" s="4" t="s">
        <v>44</v>
      </c>
      <c r="D336" s="4" t="s">
        <v>45</v>
      </c>
      <c r="E336" s="4" t="s">
        <v>46</v>
      </c>
      <c r="F336" s="4" t="s">
        <v>47</v>
      </c>
      <c r="G336" s="4" t="s">
        <v>136</v>
      </c>
      <c r="H336" s="4" t="s">
        <v>44</v>
      </c>
      <c r="I336" s="4">
        <f t="shared" si="2"/>
        <v>12</v>
      </c>
      <c r="J336" s="4" t="str">
        <f t="shared" si="3"/>
        <v/>
      </c>
      <c r="K336" s="4" t="str">
        <f>VLOOKUP(MONTH(B336),'03_Lookup'!A:B,2,FALSE)</f>
        <v>Mar</v>
      </c>
      <c r="L336" s="4" t="str">
        <f>IF(C336="","",VLOOKUP(MONTH(C336),'03_Lookup'!A:B,2,FALSE))</f>
        <v/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5" x14ac:dyDescent="0.25">
      <c r="A337" s="5">
        <v>334</v>
      </c>
      <c r="B337" s="6">
        <v>45354</v>
      </c>
      <c r="C337" s="4" t="s">
        <v>44</v>
      </c>
      <c r="D337" s="4" t="s">
        <v>45</v>
      </c>
      <c r="E337" s="4" t="s">
        <v>46</v>
      </c>
      <c r="F337" s="4" t="s">
        <v>47</v>
      </c>
      <c r="G337" s="4" t="s">
        <v>136</v>
      </c>
      <c r="H337" s="4" t="s">
        <v>44</v>
      </c>
      <c r="I337" s="4">
        <f t="shared" si="2"/>
        <v>9</v>
      </c>
      <c r="J337" s="4" t="str">
        <f t="shared" si="3"/>
        <v/>
      </c>
      <c r="K337" s="4" t="str">
        <f>VLOOKUP(MONTH(B337),'03_Lookup'!A:B,2,FALSE)</f>
        <v>Mar</v>
      </c>
      <c r="L337" s="4" t="str">
        <f>IF(C337="","",VLOOKUP(MONTH(C337),'03_Lookup'!A:B,2,FALSE))</f>
        <v/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5" x14ac:dyDescent="0.25">
      <c r="A338" s="5">
        <v>335</v>
      </c>
      <c r="B338" s="6">
        <v>45319</v>
      </c>
      <c r="C338" s="4" t="s">
        <v>44</v>
      </c>
      <c r="D338" s="4" t="s">
        <v>45</v>
      </c>
      <c r="E338" s="4" t="s">
        <v>48</v>
      </c>
      <c r="F338" s="4" t="s">
        <v>47</v>
      </c>
      <c r="G338" s="4" t="s">
        <v>135</v>
      </c>
      <c r="H338" s="4" t="s">
        <v>44</v>
      </c>
      <c r="I338" s="4">
        <f t="shared" si="2"/>
        <v>4</v>
      </c>
      <c r="J338" s="4" t="str">
        <f t="shared" si="3"/>
        <v/>
      </c>
      <c r="K338" s="4" t="str">
        <f>VLOOKUP(MONTH(B338),'03_Lookup'!A:B,2,FALSE)</f>
        <v>Jan</v>
      </c>
      <c r="L338" s="4" t="str">
        <f>IF(C338="","",VLOOKUP(MONTH(C338),'03_Lookup'!A:B,2,FALSE))</f>
        <v/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5" x14ac:dyDescent="0.25">
      <c r="A339" s="5">
        <v>336</v>
      </c>
      <c r="B339" s="6">
        <v>45357</v>
      </c>
      <c r="C339" s="6">
        <v>45359</v>
      </c>
      <c r="D339" s="4" t="s">
        <v>50</v>
      </c>
      <c r="E339" s="4" t="s">
        <v>48</v>
      </c>
      <c r="F339" s="4" t="s">
        <v>51</v>
      </c>
      <c r="G339" s="4" t="s">
        <v>135</v>
      </c>
      <c r="H339" s="5">
        <v>48</v>
      </c>
      <c r="I339" s="4">
        <f t="shared" si="2"/>
        <v>10</v>
      </c>
      <c r="J339" s="4">
        <f t="shared" si="3"/>
        <v>10</v>
      </c>
      <c r="K339" s="4" t="str">
        <f>VLOOKUP(MONTH(B339),'03_Lookup'!A:B,2,FALSE)</f>
        <v>Mar</v>
      </c>
      <c r="L339" s="4" t="str">
        <f>IF(C339="","",VLOOKUP(MONTH(C339),'03_Lookup'!A:B,2,FALSE))</f>
        <v>Mar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5" x14ac:dyDescent="0.25">
      <c r="A340" s="5">
        <v>337</v>
      </c>
      <c r="B340" s="6">
        <v>45324</v>
      </c>
      <c r="C340" s="4" t="s">
        <v>44</v>
      </c>
      <c r="D340" s="4" t="s">
        <v>45</v>
      </c>
      <c r="E340" s="4" t="s">
        <v>48</v>
      </c>
      <c r="F340" s="4" t="s">
        <v>47</v>
      </c>
      <c r="G340" s="4" t="s">
        <v>136</v>
      </c>
      <c r="H340" s="4" t="s">
        <v>44</v>
      </c>
      <c r="I340" s="4">
        <f t="shared" si="2"/>
        <v>5</v>
      </c>
      <c r="J340" s="4" t="str">
        <f t="shared" si="3"/>
        <v/>
      </c>
      <c r="K340" s="4" t="str">
        <f>VLOOKUP(MONTH(B340),'03_Lookup'!A:B,2,FALSE)</f>
        <v>Feb</v>
      </c>
      <c r="L340" s="4" t="str">
        <f>IF(C340="","",VLOOKUP(MONTH(C340),'03_Lookup'!A:B,2,FALSE))</f>
        <v/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5" x14ac:dyDescent="0.25">
      <c r="A341" s="5">
        <v>338</v>
      </c>
      <c r="B341" s="6">
        <v>45339</v>
      </c>
      <c r="C341" s="4" t="s">
        <v>44</v>
      </c>
      <c r="D341" s="4" t="s">
        <v>45</v>
      </c>
      <c r="E341" s="4" t="s">
        <v>48</v>
      </c>
      <c r="F341" s="4" t="s">
        <v>49</v>
      </c>
      <c r="G341" s="4" t="s">
        <v>135</v>
      </c>
      <c r="H341" s="4" t="s">
        <v>44</v>
      </c>
      <c r="I341" s="4">
        <f t="shared" si="2"/>
        <v>7</v>
      </c>
      <c r="J341" s="4" t="str">
        <f t="shared" si="3"/>
        <v/>
      </c>
      <c r="K341" s="4" t="str">
        <f>VLOOKUP(MONTH(B341),'03_Lookup'!A:B,2,FALSE)</f>
        <v>Feb</v>
      </c>
      <c r="L341" s="4" t="str">
        <f>IF(C341="","",VLOOKUP(MONTH(C341),'03_Lookup'!A:B,2,FALSE))</f>
        <v/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5" x14ac:dyDescent="0.25">
      <c r="A342" s="5">
        <v>339</v>
      </c>
      <c r="B342" s="6">
        <v>45297</v>
      </c>
      <c r="C342" s="4" t="s">
        <v>44</v>
      </c>
      <c r="D342" s="4" t="s">
        <v>45</v>
      </c>
      <c r="E342" s="4" t="s">
        <v>46</v>
      </c>
      <c r="F342" s="4" t="s">
        <v>51</v>
      </c>
      <c r="G342" s="4" t="s">
        <v>135</v>
      </c>
      <c r="H342" s="4" t="s">
        <v>44</v>
      </c>
      <c r="I342" s="4">
        <f t="shared" si="2"/>
        <v>1</v>
      </c>
      <c r="J342" s="4" t="str">
        <f t="shared" si="3"/>
        <v/>
      </c>
      <c r="K342" s="4" t="str">
        <f>VLOOKUP(MONTH(B342),'03_Lookup'!A:B,2,FALSE)</f>
        <v>Jan</v>
      </c>
      <c r="L342" s="4" t="str">
        <f>IF(C342="","",VLOOKUP(MONTH(C342),'03_Lookup'!A:B,2,FALSE))</f>
        <v/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5" x14ac:dyDescent="0.25">
      <c r="A343" s="5">
        <v>340</v>
      </c>
      <c r="B343" s="6">
        <v>45335</v>
      </c>
      <c r="C343" s="4" t="s">
        <v>44</v>
      </c>
      <c r="D343" s="4" t="s">
        <v>45</v>
      </c>
      <c r="E343" s="4" t="s">
        <v>48</v>
      </c>
      <c r="F343" s="4" t="s">
        <v>47</v>
      </c>
      <c r="G343" s="4" t="s">
        <v>135</v>
      </c>
      <c r="H343" s="4" t="s">
        <v>44</v>
      </c>
      <c r="I343" s="4">
        <f t="shared" si="2"/>
        <v>7</v>
      </c>
      <c r="J343" s="4" t="str">
        <f t="shared" si="3"/>
        <v/>
      </c>
      <c r="K343" s="4" t="str">
        <f>VLOOKUP(MONTH(B343),'03_Lookup'!A:B,2,FALSE)</f>
        <v>Feb</v>
      </c>
      <c r="L343" s="4" t="str">
        <f>IF(C343="","",VLOOKUP(MONTH(C343),'03_Lookup'!A:B,2,FALSE))</f>
        <v/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5" x14ac:dyDescent="0.25">
      <c r="A344" s="5">
        <v>341</v>
      </c>
      <c r="B344" s="6">
        <v>45305</v>
      </c>
      <c r="C344" s="4" t="s">
        <v>44</v>
      </c>
      <c r="D344" s="4" t="s">
        <v>45</v>
      </c>
      <c r="E344" s="4" t="s">
        <v>46</v>
      </c>
      <c r="F344" s="4" t="s">
        <v>47</v>
      </c>
      <c r="G344" s="4" t="s">
        <v>136</v>
      </c>
      <c r="H344" s="4" t="s">
        <v>44</v>
      </c>
      <c r="I344" s="4">
        <f t="shared" si="2"/>
        <v>2</v>
      </c>
      <c r="J344" s="4" t="str">
        <f t="shared" si="3"/>
        <v/>
      </c>
      <c r="K344" s="4" t="str">
        <f>VLOOKUP(MONTH(B344),'03_Lookup'!A:B,2,FALSE)</f>
        <v>Jan</v>
      </c>
      <c r="L344" s="4" t="str">
        <f>IF(C344="","",VLOOKUP(MONTH(C344),'03_Lookup'!A:B,2,FALSE))</f>
        <v/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5" x14ac:dyDescent="0.25">
      <c r="A345" s="5">
        <v>342</v>
      </c>
      <c r="B345" s="6">
        <v>45330</v>
      </c>
      <c r="C345" s="6">
        <v>45336</v>
      </c>
      <c r="D345" s="4" t="s">
        <v>50</v>
      </c>
      <c r="E345" s="4" t="s">
        <v>48</v>
      </c>
      <c r="F345" s="4" t="s">
        <v>49</v>
      </c>
      <c r="G345" s="4" t="s">
        <v>136</v>
      </c>
      <c r="H345" s="5">
        <v>144</v>
      </c>
      <c r="I345" s="4">
        <f t="shared" si="2"/>
        <v>6</v>
      </c>
      <c r="J345" s="4">
        <f t="shared" si="3"/>
        <v>7</v>
      </c>
      <c r="K345" s="4" t="str">
        <f>VLOOKUP(MONTH(B345),'03_Lookup'!A:B,2,FALSE)</f>
        <v>Feb</v>
      </c>
      <c r="L345" s="4" t="str">
        <f>IF(C345="","",VLOOKUP(MONTH(C345),'03_Lookup'!A:B,2,FALSE))</f>
        <v>Feb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5" x14ac:dyDescent="0.25">
      <c r="A346" s="5">
        <v>343</v>
      </c>
      <c r="B346" s="6">
        <v>45380</v>
      </c>
      <c r="C346" s="6">
        <v>45386</v>
      </c>
      <c r="D346" s="4" t="s">
        <v>50</v>
      </c>
      <c r="E346" s="4" t="s">
        <v>48</v>
      </c>
      <c r="F346" s="4" t="s">
        <v>51</v>
      </c>
      <c r="G346" s="4" t="s">
        <v>136</v>
      </c>
      <c r="H346" s="5">
        <v>144</v>
      </c>
      <c r="I346" s="4">
        <f t="shared" si="2"/>
        <v>13</v>
      </c>
      <c r="J346" s="4">
        <f t="shared" si="3"/>
        <v>14</v>
      </c>
      <c r="K346" s="4" t="str">
        <f>VLOOKUP(MONTH(B346),'03_Lookup'!A:B,2,FALSE)</f>
        <v>Mar</v>
      </c>
      <c r="L346" s="4" t="str">
        <f>IF(C346="","",VLOOKUP(MONTH(C346),'03_Lookup'!A:B,2,FALSE))</f>
        <v>Apr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5" x14ac:dyDescent="0.25">
      <c r="A347" s="5">
        <v>344</v>
      </c>
      <c r="B347" s="6">
        <v>45378</v>
      </c>
      <c r="C347" s="6">
        <v>45381</v>
      </c>
      <c r="D347" s="4" t="s">
        <v>50</v>
      </c>
      <c r="E347" s="4" t="s">
        <v>48</v>
      </c>
      <c r="F347" s="4" t="s">
        <v>47</v>
      </c>
      <c r="G347" s="4" t="s">
        <v>136</v>
      </c>
      <c r="H347" s="5">
        <v>72</v>
      </c>
      <c r="I347" s="4">
        <f t="shared" si="2"/>
        <v>13</v>
      </c>
      <c r="J347" s="4">
        <f t="shared" si="3"/>
        <v>13</v>
      </c>
      <c r="K347" s="4" t="str">
        <f>VLOOKUP(MONTH(B347),'03_Lookup'!A:B,2,FALSE)</f>
        <v>Mar</v>
      </c>
      <c r="L347" s="4" t="str">
        <f>IF(C347="","",VLOOKUP(MONTH(C347),'03_Lookup'!A:B,2,FALSE))</f>
        <v>Mar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5" x14ac:dyDescent="0.25">
      <c r="A348" s="5">
        <v>345</v>
      </c>
      <c r="B348" s="6">
        <v>45344</v>
      </c>
      <c r="C348" s="4" t="s">
        <v>44</v>
      </c>
      <c r="D348" s="4" t="s">
        <v>45</v>
      </c>
      <c r="E348" s="4" t="s">
        <v>48</v>
      </c>
      <c r="F348" s="4" t="s">
        <v>47</v>
      </c>
      <c r="G348" s="4" t="s">
        <v>136</v>
      </c>
      <c r="H348" s="4" t="s">
        <v>44</v>
      </c>
      <c r="I348" s="4">
        <f t="shared" si="2"/>
        <v>8</v>
      </c>
      <c r="J348" s="4" t="str">
        <f t="shared" si="3"/>
        <v/>
      </c>
      <c r="K348" s="4" t="str">
        <f>VLOOKUP(MONTH(B348),'03_Lookup'!A:B,2,FALSE)</f>
        <v>Feb</v>
      </c>
      <c r="L348" s="4" t="str">
        <f>IF(C348="","",VLOOKUP(MONTH(C348),'03_Lookup'!A:B,2,FALSE))</f>
        <v/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5" x14ac:dyDescent="0.25">
      <c r="A349" s="5">
        <v>346</v>
      </c>
      <c r="B349" s="6">
        <v>45324</v>
      </c>
      <c r="C349" s="4" t="s">
        <v>44</v>
      </c>
      <c r="D349" s="4" t="s">
        <v>45</v>
      </c>
      <c r="E349" s="4" t="s">
        <v>46</v>
      </c>
      <c r="F349" s="4" t="s">
        <v>47</v>
      </c>
      <c r="G349" s="4" t="s">
        <v>136</v>
      </c>
      <c r="H349" s="4" t="s">
        <v>44</v>
      </c>
      <c r="I349" s="4">
        <f t="shared" si="2"/>
        <v>5</v>
      </c>
      <c r="J349" s="4" t="str">
        <f t="shared" si="3"/>
        <v/>
      </c>
      <c r="K349" s="4" t="str">
        <f>VLOOKUP(MONTH(B349),'03_Lookup'!A:B,2,FALSE)</f>
        <v>Feb</v>
      </c>
      <c r="L349" s="4" t="str">
        <f>IF(C349="","",VLOOKUP(MONTH(C349),'03_Lookup'!A:B,2,FALSE))</f>
        <v/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5" x14ac:dyDescent="0.25">
      <c r="A350" s="5">
        <v>347</v>
      </c>
      <c r="B350" s="6">
        <v>45369</v>
      </c>
      <c r="C350" s="4" t="s">
        <v>44</v>
      </c>
      <c r="D350" s="4" t="s">
        <v>45</v>
      </c>
      <c r="E350" s="4" t="s">
        <v>48</v>
      </c>
      <c r="F350" s="4" t="s">
        <v>47</v>
      </c>
      <c r="G350" s="4" t="s">
        <v>135</v>
      </c>
      <c r="H350" s="4" t="s">
        <v>44</v>
      </c>
      <c r="I350" s="4">
        <f t="shared" si="2"/>
        <v>12</v>
      </c>
      <c r="J350" s="4" t="str">
        <f t="shared" si="3"/>
        <v/>
      </c>
      <c r="K350" s="4" t="str">
        <f>VLOOKUP(MONTH(B350),'03_Lookup'!A:B,2,FALSE)</f>
        <v>Mar</v>
      </c>
      <c r="L350" s="4" t="str">
        <f>IF(C350="","",VLOOKUP(MONTH(C350),'03_Lookup'!A:B,2,FALSE))</f>
        <v/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5" x14ac:dyDescent="0.25">
      <c r="A351" s="5">
        <v>348</v>
      </c>
      <c r="B351" s="6">
        <v>45382</v>
      </c>
      <c r="C351" s="4" t="s">
        <v>44</v>
      </c>
      <c r="D351" s="4" t="s">
        <v>45</v>
      </c>
      <c r="E351" s="4" t="s">
        <v>46</v>
      </c>
      <c r="F351" s="4" t="s">
        <v>51</v>
      </c>
      <c r="G351" s="4" t="s">
        <v>136</v>
      </c>
      <c r="H351" s="4" t="s">
        <v>44</v>
      </c>
      <c r="I351" s="4">
        <f t="shared" si="2"/>
        <v>13</v>
      </c>
      <c r="J351" s="4" t="str">
        <f t="shared" si="3"/>
        <v/>
      </c>
      <c r="K351" s="4" t="str">
        <f>VLOOKUP(MONTH(B351),'03_Lookup'!A:B,2,FALSE)</f>
        <v>Mar</v>
      </c>
      <c r="L351" s="4" t="str">
        <f>IF(C351="","",VLOOKUP(MONTH(C351),'03_Lookup'!A:B,2,FALSE))</f>
        <v/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5" x14ac:dyDescent="0.25">
      <c r="A352" s="5">
        <v>349</v>
      </c>
      <c r="B352" s="6">
        <v>45317</v>
      </c>
      <c r="C352" s="4" t="s">
        <v>44</v>
      </c>
      <c r="D352" s="4" t="s">
        <v>45</v>
      </c>
      <c r="E352" s="4" t="s">
        <v>46</v>
      </c>
      <c r="F352" s="4" t="s">
        <v>47</v>
      </c>
      <c r="G352" s="4" t="s">
        <v>136</v>
      </c>
      <c r="H352" s="4" t="s">
        <v>44</v>
      </c>
      <c r="I352" s="4">
        <f t="shared" si="2"/>
        <v>4</v>
      </c>
      <c r="J352" s="4" t="str">
        <f t="shared" si="3"/>
        <v/>
      </c>
      <c r="K352" s="4" t="str">
        <f>VLOOKUP(MONTH(B352),'03_Lookup'!A:B,2,FALSE)</f>
        <v>Jan</v>
      </c>
      <c r="L352" s="4" t="str">
        <f>IF(C352="","",VLOOKUP(MONTH(C352),'03_Lookup'!A:B,2,FALSE))</f>
        <v/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5" x14ac:dyDescent="0.25">
      <c r="A353" s="5">
        <v>350</v>
      </c>
      <c r="B353" s="6">
        <v>45346</v>
      </c>
      <c r="C353" s="4" t="s">
        <v>44</v>
      </c>
      <c r="D353" s="4" t="s">
        <v>45</v>
      </c>
      <c r="E353" s="4" t="s">
        <v>46</v>
      </c>
      <c r="F353" s="4" t="s">
        <v>47</v>
      </c>
      <c r="G353" s="4" t="s">
        <v>135</v>
      </c>
      <c r="H353" s="4" t="s">
        <v>44</v>
      </c>
      <c r="I353" s="4">
        <f t="shared" si="2"/>
        <v>8</v>
      </c>
      <c r="J353" s="4" t="str">
        <f t="shared" si="3"/>
        <v/>
      </c>
      <c r="K353" s="4" t="str">
        <f>VLOOKUP(MONTH(B353),'03_Lookup'!A:B,2,FALSE)</f>
        <v>Feb</v>
      </c>
      <c r="L353" s="4" t="str">
        <f>IF(C353="","",VLOOKUP(MONTH(C353),'03_Lookup'!A:B,2,FALSE))</f>
        <v/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5" x14ac:dyDescent="0.25">
      <c r="A354" s="5">
        <v>351</v>
      </c>
      <c r="B354" s="6">
        <v>45295</v>
      </c>
      <c r="C354" s="4" t="s">
        <v>44</v>
      </c>
      <c r="D354" s="4" t="s">
        <v>45</v>
      </c>
      <c r="E354" s="4" t="s">
        <v>48</v>
      </c>
      <c r="F354" s="4" t="s">
        <v>49</v>
      </c>
      <c r="G354" s="4" t="s">
        <v>135</v>
      </c>
      <c r="H354" s="4" t="s">
        <v>44</v>
      </c>
      <c r="I354" s="4">
        <f t="shared" si="2"/>
        <v>1</v>
      </c>
      <c r="J354" s="4" t="str">
        <f t="shared" si="3"/>
        <v/>
      </c>
      <c r="K354" s="4" t="str">
        <f>VLOOKUP(MONTH(B354),'03_Lookup'!A:B,2,FALSE)</f>
        <v>Jan</v>
      </c>
      <c r="L354" s="4" t="str">
        <f>IF(C354="","",VLOOKUP(MONTH(C354),'03_Lookup'!A:B,2,FALSE))</f>
        <v/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5" x14ac:dyDescent="0.25">
      <c r="A355" s="5">
        <v>352</v>
      </c>
      <c r="B355" s="6">
        <v>45362</v>
      </c>
      <c r="C355" s="4" t="s">
        <v>44</v>
      </c>
      <c r="D355" s="4" t="s">
        <v>45</v>
      </c>
      <c r="E355" s="4" t="s">
        <v>48</v>
      </c>
      <c r="F355" s="4" t="s">
        <v>49</v>
      </c>
      <c r="G355" s="4" t="s">
        <v>135</v>
      </c>
      <c r="H355" s="4" t="s">
        <v>44</v>
      </c>
      <c r="I355" s="4">
        <f t="shared" si="2"/>
        <v>11</v>
      </c>
      <c r="J355" s="4" t="str">
        <f t="shared" si="3"/>
        <v/>
      </c>
      <c r="K355" s="4" t="str">
        <f>VLOOKUP(MONTH(B355),'03_Lookup'!A:B,2,FALSE)</f>
        <v>Mar</v>
      </c>
      <c r="L355" s="4" t="str">
        <f>IF(C355="","",VLOOKUP(MONTH(C355),'03_Lookup'!A:B,2,FALSE))</f>
        <v/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5" x14ac:dyDescent="0.25">
      <c r="A356" s="5">
        <v>353</v>
      </c>
      <c r="B356" s="6">
        <v>45302</v>
      </c>
      <c r="C356" s="6">
        <v>45304</v>
      </c>
      <c r="D356" s="4" t="s">
        <v>50</v>
      </c>
      <c r="E356" s="4" t="s">
        <v>48</v>
      </c>
      <c r="F356" s="4" t="s">
        <v>49</v>
      </c>
      <c r="G356" s="4" t="s">
        <v>135</v>
      </c>
      <c r="H356" s="5">
        <v>48</v>
      </c>
      <c r="I356" s="4">
        <f t="shared" si="2"/>
        <v>2</v>
      </c>
      <c r="J356" s="4">
        <f t="shared" si="3"/>
        <v>2</v>
      </c>
      <c r="K356" s="4" t="str">
        <f>VLOOKUP(MONTH(B356),'03_Lookup'!A:B,2,FALSE)</f>
        <v>Jan</v>
      </c>
      <c r="L356" s="4" t="str">
        <f>IF(C356="","",VLOOKUP(MONTH(C356),'03_Lookup'!A:B,2,FALSE))</f>
        <v>Jan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5" x14ac:dyDescent="0.25">
      <c r="A357" s="5">
        <v>354</v>
      </c>
      <c r="B357" s="6">
        <v>45338</v>
      </c>
      <c r="C357" s="4" t="s">
        <v>44</v>
      </c>
      <c r="D357" s="4" t="s">
        <v>45</v>
      </c>
      <c r="E357" s="4" t="s">
        <v>46</v>
      </c>
      <c r="F357" s="4" t="s">
        <v>51</v>
      </c>
      <c r="G357" s="4" t="s">
        <v>135</v>
      </c>
      <c r="H357" s="4" t="s">
        <v>44</v>
      </c>
      <c r="I357" s="4">
        <f t="shared" si="2"/>
        <v>7</v>
      </c>
      <c r="J357" s="4" t="str">
        <f t="shared" si="3"/>
        <v/>
      </c>
      <c r="K357" s="4" t="str">
        <f>VLOOKUP(MONTH(B357),'03_Lookup'!A:B,2,FALSE)</f>
        <v>Feb</v>
      </c>
      <c r="L357" s="4" t="str">
        <f>IF(C357="","",VLOOKUP(MONTH(C357),'03_Lookup'!A:B,2,FALSE))</f>
        <v/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5" x14ac:dyDescent="0.25">
      <c r="A358" s="5">
        <v>355</v>
      </c>
      <c r="B358" s="6">
        <v>45364</v>
      </c>
      <c r="C358" s="6">
        <v>45372</v>
      </c>
      <c r="D358" s="4" t="s">
        <v>50</v>
      </c>
      <c r="E358" s="4" t="s">
        <v>46</v>
      </c>
      <c r="F358" s="4" t="s">
        <v>49</v>
      </c>
      <c r="G358" s="4" t="s">
        <v>135</v>
      </c>
      <c r="H358" s="5">
        <v>192</v>
      </c>
      <c r="I358" s="4">
        <f t="shared" si="2"/>
        <v>11</v>
      </c>
      <c r="J358" s="4">
        <f t="shared" si="3"/>
        <v>12</v>
      </c>
      <c r="K358" s="4" t="str">
        <f>VLOOKUP(MONTH(B358),'03_Lookup'!A:B,2,FALSE)</f>
        <v>Mar</v>
      </c>
      <c r="L358" s="4" t="str">
        <f>IF(C358="","",VLOOKUP(MONTH(C358),'03_Lookup'!A:B,2,FALSE))</f>
        <v>Mar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5" x14ac:dyDescent="0.25">
      <c r="A359" s="5">
        <v>356</v>
      </c>
      <c r="B359" s="6">
        <v>45329</v>
      </c>
      <c r="C359" s="4" t="s">
        <v>44</v>
      </c>
      <c r="D359" s="4" t="s">
        <v>45</v>
      </c>
      <c r="E359" s="4" t="s">
        <v>48</v>
      </c>
      <c r="F359" s="4" t="s">
        <v>47</v>
      </c>
      <c r="G359" s="4" t="s">
        <v>136</v>
      </c>
      <c r="H359" s="4" t="s">
        <v>44</v>
      </c>
      <c r="I359" s="4">
        <f t="shared" si="2"/>
        <v>6</v>
      </c>
      <c r="J359" s="4" t="str">
        <f t="shared" si="3"/>
        <v/>
      </c>
      <c r="K359" s="4" t="str">
        <f>VLOOKUP(MONTH(B359),'03_Lookup'!A:B,2,FALSE)</f>
        <v>Feb</v>
      </c>
      <c r="L359" s="4" t="str">
        <f>IF(C359="","",VLOOKUP(MONTH(C359),'03_Lookup'!A:B,2,FALSE))</f>
        <v/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5" x14ac:dyDescent="0.25">
      <c r="A360" s="5">
        <v>357</v>
      </c>
      <c r="B360" s="6">
        <v>45317</v>
      </c>
      <c r="C360" s="4" t="s">
        <v>44</v>
      </c>
      <c r="D360" s="4" t="s">
        <v>45</v>
      </c>
      <c r="E360" s="4" t="s">
        <v>48</v>
      </c>
      <c r="F360" s="4" t="s">
        <v>47</v>
      </c>
      <c r="G360" s="4" t="s">
        <v>135</v>
      </c>
      <c r="H360" s="4" t="s">
        <v>44</v>
      </c>
      <c r="I360" s="4">
        <f t="shared" si="2"/>
        <v>4</v>
      </c>
      <c r="J360" s="4" t="str">
        <f t="shared" si="3"/>
        <v/>
      </c>
      <c r="K360" s="4" t="str">
        <f>VLOOKUP(MONTH(B360),'03_Lookup'!A:B,2,FALSE)</f>
        <v>Jan</v>
      </c>
      <c r="L360" s="4" t="str">
        <f>IF(C360="","",VLOOKUP(MONTH(C360),'03_Lookup'!A:B,2,FALSE))</f>
        <v/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5" x14ac:dyDescent="0.25">
      <c r="A361" s="5">
        <v>358</v>
      </c>
      <c r="B361" s="6">
        <v>45322</v>
      </c>
      <c r="C361" s="4" t="s">
        <v>44</v>
      </c>
      <c r="D361" s="4" t="s">
        <v>45</v>
      </c>
      <c r="E361" s="4" t="s">
        <v>48</v>
      </c>
      <c r="F361" s="4" t="s">
        <v>49</v>
      </c>
      <c r="G361" s="4" t="s">
        <v>135</v>
      </c>
      <c r="H361" s="4" t="s">
        <v>44</v>
      </c>
      <c r="I361" s="4">
        <f t="shared" si="2"/>
        <v>5</v>
      </c>
      <c r="J361" s="4" t="str">
        <f t="shared" si="3"/>
        <v/>
      </c>
      <c r="K361" s="4" t="str">
        <f>VLOOKUP(MONTH(B361),'03_Lookup'!A:B,2,FALSE)</f>
        <v>Jan</v>
      </c>
      <c r="L361" s="4" t="str">
        <f>IF(C361="","",VLOOKUP(MONTH(C361),'03_Lookup'!A:B,2,FALSE))</f>
        <v/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5" x14ac:dyDescent="0.25">
      <c r="A362" s="5">
        <v>359</v>
      </c>
      <c r="B362" s="6">
        <v>45293</v>
      </c>
      <c r="C362" s="4" t="s">
        <v>44</v>
      </c>
      <c r="D362" s="4" t="s">
        <v>45</v>
      </c>
      <c r="E362" s="4" t="s">
        <v>46</v>
      </c>
      <c r="F362" s="4" t="s">
        <v>47</v>
      </c>
      <c r="G362" s="4" t="s">
        <v>135</v>
      </c>
      <c r="H362" s="4" t="s">
        <v>44</v>
      </c>
      <c r="I362" s="4">
        <f t="shared" si="2"/>
        <v>1</v>
      </c>
      <c r="J362" s="4" t="str">
        <f t="shared" si="3"/>
        <v/>
      </c>
      <c r="K362" s="4" t="str">
        <f>VLOOKUP(MONTH(B362),'03_Lookup'!A:B,2,FALSE)</f>
        <v>Jan</v>
      </c>
      <c r="L362" s="4" t="str">
        <f>IF(C362="","",VLOOKUP(MONTH(C362),'03_Lookup'!A:B,2,FALSE))</f>
        <v/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5" x14ac:dyDescent="0.25">
      <c r="A363" s="5">
        <v>360</v>
      </c>
      <c r="B363" s="6">
        <v>45302</v>
      </c>
      <c r="C363" s="4" t="s">
        <v>44</v>
      </c>
      <c r="D363" s="4" t="s">
        <v>45</v>
      </c>
      <c r="E363" s="4" t="s">
        <v>46</v>
      </c>
      <c r="F363" s="4" t="s">
        <v>47</v>
      </c>
      <c r="G363" s="4" t="s">
        <v>136</v>
      </c>
      <c r="H363" s="4" t="s">
        <v>44</v>
      </c>
      <c r="I363" s="4">
        <f t="shared" si="2"/>
        <v>2</v>
      </c>
      <c r="J363" s="4" t="str">
        <f t="shared" si="3"/>
        <v/>
      </c>
      <c r="K363" s="4" t="str">
        <f>VLOOKUP(MONTH(B363),'03_Lookup'!A:B,2,FALSE)</f>
        <v>Jan</v>
      </c>
      <c r="L363" s="4" t="str">
        <f>IF(C363="","",VLOOKUP(MONTH(C363),'03_Lookup'!A:B,2,FALSE))</f>
        <v/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5" x14ac:dyDescent="0.25">
      <c r="A364" s="5">
        <v>361</v>
      </c>
      <c r="B364" s="6">
        <v>45304</v>
      </c>
      <c r="C364" s="7"/>
      <c r="D364" s="4" t="s">
        <v>50</v>
      </c>
      <c r="E364" s="4" t="s">
        <v>46</v>
      </c>
      <c r="F364" s="4" t="s">
        <v>51</v>
      </c>
      <c r="G364" s="4" t="s">
        <v>136</v>
      </c>
      <c r="H364" s="5">
        <v>24</v>
      </c>
      <c r="I364" s="4">
        <f t="shared" si="2"/>
        <v>2</v>
      </c>
      <c r="J364" s="4" t="str">
        <f t="shared" si="3"/>
        <v/>
      </c>
      <c r="K364" s="4" t="str">
        <f>VLOOKUP(MONTH(B364),'03_Lookup'!A:B,2,FALSE)</f>
        <v>Jan</v>
      </c>
      <c r="L364" s="4" t="str">
        <f>IF(C364="","",VLOOKUP(MONTH(C364),'03_Lookup'!A:B,2,FALSE))</f>
        <v/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5" x14ac:dyDescent="0.25">
      <c r="A365" s="5">
        <v>362</v>
      </c>
      <c r="B365" s="6">
        <v>45347</v>
      </c>
      <c r="C365" s="4" t="s">
        <v>44</v>
      </c>
      <c r="D365" s="4" t="s">
        <v>45</v>
      </c>
      <c r="E365" s="4" t="s">
        <v>46</v>
      </c>
      <c r="F365" s="4" t="s">
        <v>47</v>
      </c>
      <c r="G365" s="4" t="s">
        <v>136</v>
      </c>
      <c r="H365" s="4" t="s">
        <v>44</v>
      </c>
      <c r="I365" s="4">
        <f t="shared" si="2"/>
        <v>8</v>
      </c>
      <c r="J365" s="4" t="str">
        <f t="shared" si="3"/>
        <v/>
      </c>
      <c r="K365" s="4" t="str">
        <f>VLOOKUP(MONTH(B365),'03_Lookup'!A:B,2,FALSE)</f>
        <v>Feb</v>
      </c>
      <c r="L365" s="4" t="str">
        <f>IF(C365="","",VLOOKUP(MONTH(C365),'03_Lookup'!A:B,2,FALSE))</f>
        <v/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5" x14ac:dyDescent="0.25">
      <c r="A366" s="5">
        <v>363</v>
      </c>
      <c r="B366" s="6">
        <v>45307</v>
      </c>
      <c r="C366" s="6">
        <v>45310</v>
      </c>
      <c r="D366" s="4" t="s">
        <v>50</v>
      </c>
      <c r="E366" s="4" t="s">
        <v>48</v>
      </c>
      <c r="F366" s="4" t="s">
        <v>47</v>
      </c>
      <c r="G366" s="4" t="s">
        <v>136</v>
      </c>
      <c r="H366" s="5">
        <v>72</v>
      </c>
      <c r="I366" s="4">
        <f t="shared" si="2"/>
        <v>3</v>
      </c>
      <c r="J366" s="4">
        <f t="shared" si="3"/>
        <v>3</v>
      </c>
      <c r="K366" s="4" t="str">
        <f>VLOOKUP(MONTH(B366),'03_Lookup'!A:B,2,FALSE)</f>
        <v>Jan</v>
      </c>
      <c r="L366" s="4" t="str">
        <f>IF(C366="","",VLOOKUP(MONTH(C366),'03_Lookup'!A:B,2,FALSE))</f>
        <v>Jan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5" x14ac:dyDescent="0.25">
      <c r="A367" s="5">
        <v>364</v>
      </c>
      <c r="B367" s="6">
        <v>45332</v>
      </c>
      <c r="C367" s="4" t="s">
        <v>44</v>
      </c>
      <c r="D367" s="4" t="s">
        <v>45</v>
      </c>
      <c r="E367" s="4" t="s">
        <v>48</v>
      </c>
      <c r="F367" s="4" t="s">
        <v>49</v>
      </c>
      <c r="G367" s="4" t="s">
        <v>135</v>
      </c>
      <c r="H367" s="4" t="s">
        <v>44</v>
      </c>
      <c r="I367" s="4">
        <f t="shared" si="2"/>
        <v>6</v>
      </c>
      <c r="J367" s="4" t="str">
        <f t="shared" si="3"/>
        <v/>
      </c>
      <c r="K367" s="4" t="str">
        <f>VLOOKUP(MONTH(B367),'03_Lookup'!A:B,2,FALSE)</f>
        <v>Feb</v>
      </c>
      <c r="L367" s="4" t="str">
        <f>IF(C367="","",VLOOKUP(MONTH(C367),'03_Lookup'!A:B,2,FALSE))</f>
        <v/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5" x14ac:dyDescent="0.25">
      <c r="A368" s="5">
        <v>365</v>
      </c>
      <c r="B368" s="6">
        <v>45320</v>
      </c>
      <c r="C368" s="6">
        <v>45323</v>
      </c>
      <c r="D368" s="4" t="s">
        <v>50</v>
      </c>
      <c r="E368" s="4" t="s">
        <v>46</v>
      </c>
      <c r="F368" s="4" t="s">
        <v>49</v>
      </c>
      <c r="G368" s="4" t="s">
        <v>136</v>
      </c>
      <c r="H368" s="5">
        <v>72</v>
      </c>
      <c r="I368" s="4">
        <f t="shared" si="2"/>
        <v>5</v>
      </c>
      <c r="J368" s="4">
        <f t="shared" si="3"/>
        <v>5</v>
      </c>
      <c r="K368" s="4" t="str">
        <f>VLOOKUP(MONTH(B368),'03_Lookup'!A:B,2,FALSE)</f>
        <v>Jan</v>
      </c>
      <c r="L368" s="4" t="str">
        <f>IF(C368="","",VLOOKUP(MONTH(C368),'03_Lookup'!A:B,2,FALSE))</f>
        <v>Feb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5" x14ac:dyDescent="0.25">
      <c r="A369" s="5">
        <v>366</v>
      </c>
      <c r="B369" s="6">
        <v>45320</v>
      </c>
      <c r="C369" s="6">
        <v>45325</v>
      </c>
      <c r="D369" s="4" t="s">
        <v>50</v>
      </c>
      <c r="E369" s="4" t="s">
        <v>46</v>
      </c>
      <c r="F369" s="4" t="s">
        <v>47</v>
      </c>
      <c r="G369" s="4" t="s">
        <v>136</v>
      </c>
      <c r="H369" s="5">
        <v>120</v>
      </c>
      <c r="I369" s="4">
        <f t="shared" si="2"/>
        <v>5</v>
      </c>
      <c r="J369" s="4">
        <f t="shared" si="3"/>
        <v>5</v>
      </c>
      <c r="K369" s="4" t="str">
        <f>VLOOKUP(MONTH(B369),'03_Lookup'!A:B,2,FALSE)</f>
        <v>Jan</v>
      </c>
      <c r="L369" s="4" t="str">
        <f>IF(C369="","",VLOOKUP(MONTH(C369),'03_Lookup'!A:B,2,FALSE))</f>
        <v>Feb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5" x14ac:dyDescent="0.25">
      <c r="A370" s="5">
        <v>367</v>
      </c>
      <c r="B370" s="6">
        <v>45362</v>
      </c>
      <c r="C370" s="4" t="s">
        <v>44</v>
      </c>
      <c r="D370" s="4" t="s">
        <v>45</v>
      </c>
      <c r="E370" s="4" t="s">
        <v>46</v>
      </c>
      <c r="F370" s="4" t="s">
        <v>47</v>
      </c>
      <c r="G370" s="4" t="s">
        <v>136</v>
      </c>
      <c r="H370" s="4" t="s">
        <v>44</v>
      </c>
      <c r="I370" s="4">
        <f t="shared" si="2"/>
        <v>11</v>
      </c>
      <c r="J370" s="4" t="str">
        <f t="shared" si="3"/>
        <v/>
      </c>
      <c r="K370" s="4" t="str">
        <f>VLOOKUP(MONTH(B370),'03_Lookup'!A:B,2,FALSE)</f>
        <v>Mar</v>
      </c>
      <c r="L370" s="4" t="str">
        <f>IF(C370="","",VLOOKUP(MONTH(C370),'03_Lookup'!A:B,2,FALSE))</f>
        <v/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5" x14ac:dyDescent="0.25">
      <c r="A371" s="5">
        <v>368</v>
      </c>
      <c r="B371" s="6">
        <v>45321</v>
      </c>
      <c r="C371" s="4" t="s">
        <v>44</v>
      </c>
      <c r="D371" s="4" t="s">
        <v>45</v>
      </c>
      <c r="E371" s="4" t="s">
        <v>46</v>
      </c>
      <c r="F371" s="4" t="s">
        <v>47</v>
      </c>
      <c r="G371" s="4" t="s">
        <v>135</v>
      </c>
      <c r="H371" s="4" t="s">
        <v>44</v>
      </c>
      <c r="I371" s="4">
        <f t="shared" si="2"/>
        <v>5</v>
      </c>
      <c r="J371" s="4" t="str">
        <f t="shared" si="3"/>
        <v/>
      </c>
      <c r="K371" s="4" t="str">
        <f>VLOOKUP(MONTH(B371),'03_Lookup'!A:B,2,FALSE)</f>
        <v>Jan</v>
      </c>
      <c r="L371" s="4" t="str">
        <f>IF(C371="","",VLOOKUP(MONTH(C371),'03_Lookup'!A:B,2,FALSE))</f>
        <v/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5" x14ac:dyDescent="0.25">
      <c r="A372" s="5">
        <v>369</v>
      </c>
      <c r="B372" s="6">
        <v>45375</v>
      </c>
      <c r="C372" s="4" t="s">
        <v>44</v>
      </c>
      <c r="D372" s="4" t="s">
        <v>45</v>
      </c>
      <c r="E372" s="4" t="s">
        <v>48</v>
      </c>
      <c r="F372" s="4" t="s">
        <v>47</v>
      </c>
      <c r="G372" s="4" t="s">
        <v>136</v>
      </c>
      <c r="H372" s="4" t="s">
        <v>44</v>
      </c>
      <c r="I372" s="4">
        <f t="shared" si="2"/>
        <v>12</v>
      </c>
      <c r="J372" s="4" t="str">
        <f t="shared" si="3"/>
        <v/>
      </c>
      <c r="K372" s="4" t="str">
        <f>VLOOKUP(MONTH(B372),'03_Lookup'!A:B,2,FALSE)</f>
        <v>Mar</v>
      </c>
      <c r="L372" s="4" t="str">
        <f>IF(C372="","",VLOOKUP(MONTH(C372),'03_Lookup'!A:B,2,FALSE))</f>
        <v/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5" x14ac:dyDescent="0.25">
      <c r="A373" s="5">
        <v>370</v>
      </c>
      <c r="B373" s="6">
        <v>45309</v>
      </c>
      <c r="C373" s="4" t="s">
        <v>44</v>
      </c>
      <c r="D373" s="4" t="s">
        <v>45</v>
      </c>
      <c r="E373" s="4" t="s">
        <v>46</v>
      </c>
      <c r="F373" s="4" t="s">
        <v>47</v>
      </c>
      <c r="G373" s="4" t="s">
        <v>136</v>
      </c>
      <c r="H373" s="4" t="s">
        <v>44</v>
      </c>
      <c r="I373" s="4">
        <f t="shared" si="2"/>
        <v>3</v>
      </c>
      <c r="J373" s="4" t="str">
        <f t="shared" si="3"/>
        <v/>
      </c>
      <c r="K373" s="4" t="str">
        <f>VLOOKUP(MONTH(B373),'03_Lookup'!A:B,2,FALSE)</f>
        <v>Jan</v>
      </c>
      <c r="L373" s="4" t="str">
        <f>IF(C373="","",VLOOKUP(MONTH(C373),'03_Lookup'!A:B,2,FALSE))</f>
        <v/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5" x14ac:dyDescent="0.25">
      <c r="A374" s="5">
        <v>371</v>
      </c>
      <c r="B374" s="6">
        <v>45368</v>
      </c>
      <c r="C374" s="4" t="s">
        <v>44</v>
      </c>
      <c r="D374" s="4" t="s">
        <v>45</v>
      </c>
      <c r="E374" s="4" t="s">
        <v>46</v>
      </c>
      <c r="F374" s="4" t="s">
        <v>47</v>
      </c>
      <c r="G374" s="4" t="s">
        <v>136</v>
      </c>
      <c r="H374" s="4" t="s">
        <v>44</v>
      </c>
      <c r="I374" s="4">
        <f t="shared" si="2"/>
        <v>11</v>
      </c>
      <c r="J374" s="4" t="str">
        <f t="shared" si="3"/>
        <v/>
      </c>
      <c r="K374" s="4" t="str">
        <f>VLOOKUP(MONTH(B374),'03_Lookup'!A:B,2,FALSE)</f>
        <v>Mar</v>
      </c>
      <c r="L374" s="4" t="str">
        <f>IF(C374="","",VLOOKUP(MONTH(C374),'03_Lookup'!A:B,2,FALSE))</f>
        <v/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5" x14ac:dyDescent="0.25">
      <c r="A375" s="5">
        <v>372</v>
      </c>
      <c r="B375" s="6">
        <v>45366</v>
      </c>
      <c r="C375" s="4" t="s">
        <v>44</v>
      </c>
      <c r="D375" s="4" t="s">
        <v>45</v>
      </c>
      <c r="E375" s="4" t="s">
        <v>48</v>
      </c>
      <c r="F375" s="4" t="s">
        <v>49</v>
      </c>
      <c r="G375" s="4" t="s">
        <v>135</v>
      </c>
      <c r="H375" s="4" t="s">
        <v>44</v>
      </c>
      <c r="I375" s="4">
        <f t="shared" si="2"/>
        <v>11</v>
      </c>
      <c r="J375" s="4" t="str">
        <f t="shared" si="3"/>
        <v/>
      </c>
      <c r="K375" s="4" t="str">
        <f>VLOOKUP(MONTH(B375),'03_Lookup'!A:B,2,FALSE)</f>
        <v>Mar</v>
      </c>
      <c r="L375" s="4" t="str">
        <f>IF(C375="","",VLOOKUP(MONTH(C375),'03_Lookup'!A:B,2,FALSE))</f>
        <v/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5" x14ac:dyDescent="0.25">
      <c r="A376" s="5">
        <v>373</v>
      </c>
      <c r="B376" s="6">
        <v>45320</v>
      </c>
      <c r="C376" s="4" t="s">
        <v>44</v>
      </c>
      <c r="D376" s="4" t="s">
        <v>45</v>
      </c>
      <c r="E376" s="4" t="s">
        <v>48</v>
      </c>
      <c r="F376" s="4" t="s">
        <v>51</v>
      </c>
      <c r="G376" s="4" t="s">
        <v>136</v>
      </c>
      <c r="H376" s="4" t="s">
        <v>44</v>
      </c>
      <c r="I376" s="4">
        <f t="shared" si="2"/>
        <v>5</v>
      </c>
      <c r="J376" s="4" t="str">
        <f t="shared" si="3"/>
        <v/>
      </c>
      <c r="K376" s="4" t="str">
        <f>VLOOKUP(MONTH(B376),'03_Lookup'!A:B,2,FALSE)</f>
        <v>Jan</v>
      </c>
      <c r="L376" s="4" t="str">
        <f>IF(C376="","",VLOOKUP(MONTH(C376),'03_Lookup'!A:B,2,FALSE))</f>
        <v/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5" x14ac:dyDescent="0.25">
      <c r="A377" s="5">
        <v>374</v>
      </c>
      <c r="B377" s="6">
        <v>45344</v>
      </c>
      <c r="C377" s="4" t="s">
        <v>44</v>
      </c>
      <c r="D377" s="4" t="s">
        <v>45</v>
      </c>
      <c r="E377" s="4" t="s">
        <v>48</v>
      </c>
      <c r="F377" s="4" t="s">
        <v>49</v>
      </c>
      <c r="G377" s="4" t="s">
        <v>136</v>
      </c>
      <c r="H377" s="4" t="s">
        <v>44</v>
      </c>
      <c r="I377" s="4">
        <f t="shared" si="2"/>
        <v>8</v>
      </c>
      <c r="J377" s="4" t="str">
        <f t="shared" si="3"/>
        <v/>
      </c>
      <c r="K377" s="4" t="str">
        <f>VLOOKUP(MONTH(B377),'03_Lookup'!A:B,2,FALSE)</f>
        <v>Feb</v>
      </c>
      <c r="L377" s="4" t="str">
        <f>IF(C377="","",VLOOKUP(MONTH(C377),'03_Lookup'!A:B,2,FALSE))</f>
        <v/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5" x14ac:dyDescent="0.25">
      <c r="A378" s="5">
        <v>375</v>
      </c>
      <c r="B378" s="6">
        <v>45335</v>
      </c>
      <c r="C378" s="6">
        <v>45339</v>
      </c>
      <c r="D378" s="4" t="s">
        <v>50</v>
      </c>
      <c r="E378" s="4" t="s">
        <v>46</v>
      </c>
      <c r="F378" s="4" t="s">
        <v>47</v>
      </c>
      <c r="G378" s="4" t="s">
        <v>136</v>
      </c>
      <c r="H378" s="5">
        <v>96</v>
      </c>
      <c r="I378" s="4">
        <f t="shared" si="2"/>
        <v>7</v>
      </c>
      <c r="J378" s="4">
        <f t="shared" si="3"/>
        <v>7</v>
      </c>
      <c r="K378" s="4" t="str">
        <f>VLOOKUP(MONTH(B378),'03_Lookup'!A:B,2,FALSE)</f>
        <v>Feb</v>
      </c>
      <c r="L378" s="4" t="str">
        <f>IF(C378="","",VLOOKUP(MONTH(C378),'03_Lookup'!A:B,2,FALSE))</f>
        <v>Feb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5" x14ac:dyDescent="0.25">
      <c r="A379" s="5">
        <v>376</v>
      </c>
      <c r="B379" s="6">
        <v>45292</v>
      </c>
      <c r="C379" s="4" t="s">
        <v>44</v>
      </c>
      <c r="D379" s="4" t="s">
        <v>45</v>
      </c>
      <c r="E379" s="4" t="s">
        <v>46</v>
      </c>
      <c r="F379" s="4" t="s">
        <v>47</v>
      </c>
      <c r="G379" s="4" t="s">
        <v>135</v>
      </c>
      <c r="H379" s="4" t="s">
        <v>44</v>
      </c>
      <c r="I379" s="4">
        <f t="shared" si="2"/>
        <v>1</v>
      </c>
      <c r="J379" s="4" t="str">
        <f t="shared" si="3"/>
        <v/>
      </c>
      <c r="K379" s="4" t="str">
        <f>VLOOKUP(MONTH(B379),'03_Lookup'!A:B,2,FALSE)</f>
        <v>Jan</v>
      </c>
      <c r="L379" s="4" t="str">
        <f>IF(C379="","",VLOOKUP(MONTH(C379),'03_Lookup'!A:B,2,FALSE))</f>
        <v/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5" x14ac:dyDescent="0.25">
      <c r="A380" s="5">
        <v>377</v>
      </c>
      <c r="B380" s="6">
        <v>45328</v>
      </c>
      <c r="C380" s="4" t="s">
        <v>44</v>
      </c>
      <c r="D380" s="4" t="s">
        <v>45</v>
      </c>
      <c r="E380" s="4" t="s">
        <v>48</v>
      </c>
      <c r="F380" s="4" t="s">
        <v>49</v>
      </c>
      <c r="G380" s="4" t="s">
        <v>136</v>
      </c>
      <c r="H380" s="4" t="s">
        <v>44</v>
      </c>
      <c r="I380" s="4">
        <f t="shared" si="2"/>
        <v>6</v>
      </c>
      <c r="J380" s="4" t="str">
        <f t="shared" si="3"/>
        <v/>
      </c>
      <c r="K380" s="4" t="str">
        <f>VLOOKUP(MONTH(B380),'03_Lookup'!A:B,2,FALSE)</f>
        <v>Feb</v>
      </c>
      <c r="L380" s="4" t="str">
        <f>IF(C380="","",VLOOKUP(MONTH(C380),'03_Lookup'!A:B,2,FALSE))</f>
        <v/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5" x14ac:dyDescent="0.25">
      <c r="A381" s="5">
        <v>378</v>
      </c>
      <c r="B381" s="6">
        <v>45358</v>
      </c>
      <c r="C381" s="4" t="s">
        <v>44</v>
      </c>
      <c r="D381" s="4" t="s">
        <v>45</v>
      </c>
      <c r="E381" s="4" t="s">
        <v>48</v>
      </c>
      <c r="F381" s="4" t="s">
        <v>49</v>
      </c>
      <c r="G381" s="4" t="s">
        <v>135</v>
      </c>
      <c r="H381" s="4" t="s">
        <v>44</v>
      </c>
      <c r="I381" s="4">
        <f t="shared" si="2"/>
        <v>10</v>
      </c>
      <c r="J381" s="4" t="str">
        <f t="shared" si="3"/>
        <v/>
      </c>
      <c r="K381" s="4" t="str">
        <f>VLOOKUP(MONTH(B381),'03_Lookup'!A:B,2,FALSE)</f>
        <v>Mar</v>
      </c>
      <c r="L381" s="4" t="str">
        <f>IF(C381="","",VLOOKUP(MONTH(C381),'03_Lookup'!A:B,2,FALSE))</f>
        <v/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5" x14ac:dyDescent="0.25">
      <c r="A382" s="5">
        <v>379</v>
      </c>
      <c r="B382" s="6">
        <v>45332</v>
      </c>
      <c r="C382" s="4" t="s">
        <v>44</v>
      </c>
      <c r="D382" s="4" t="s">
        <v>45</v>
      </c>
      <c r="E382" s="4" t="s">
        <v>46</v>
      </c>
      <c r="F382" s="4" t="s">
        <v>49</v>
      </c>
      <c r="G382" s="4" t="s">
        <v>135</v>
      </c>
      <c r="H382" s="4" t="s">
        <v>44</v>
      </c>
      <c r="I382" s="4">
        <f t="shared" si="2"/>
        <v>6</v>
      </c>
      <c r="J382" s="4" t="str">
        <f t="shared" si="3"/>
        <v/>
      </c>
      <c r="K382" s="4" t="str">
        <f>VLOOKUP(MONTH(B382),'03_Lookup'!A:B,2,FALSE)</f>
        <v>Feb</v>
      </c>
      <c r="L382" s="4" t="str">
        <f>IF(C382="","",VLOOKUP(MONTH(C382),'03_Lookup'!A:B,2,FALSE))</f>
        <v/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5" x14ac:dyDescent="0.25">
      <c r="A383" s="5">
        <v>380</v>
      </c>
      <c r="B383" s="6">
        <v>45370</v>
      </c>
      <c r="C383" s="6">
        <v>45374</v>
      </c>
      <c r="D383" s="4" t="s">
        <v>50</v>
      </c>
      <c r="E383" s="4" t="s">
        <v>48</v>
      </c>
      <c r="F383" s="4" t="s">
        <v>51</v>
      </c>
      <c r="G383" s="4" t="s">
        <v>136</v>
      </c>
      <c r="H383" s="5">
        <v>96</v>
      </c>
      <c r="I383" s="4">
        <f t="shared" si="2"/>
        <v>12</v>
      </c>
      <c r="J383" s="4">
        <f t="shared" si="3"/>
        <v>12</v>
      </c>
      <c r="K383" s="4" t="str">
        <f>VLOOKUP(MONTH(B383),'03_Lookup'!A:B,2,FALSE)</f>
        <v>Mar</v>
      </c>
      <c r="L383" s="4" t="str">
        <f>IF(C383="","",VLOOKUP(MONTH(C383),'03_Lookup'!A:B,2,FALSE))</f>
        <v>Mar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5" x14ac:dyDescent="0.25">
      <c r="A384" s="5">
        <v>381</v>
      </c>
      <c r="B384" s="6">
        <v>45380</v>
      </c>
      <c r="C384" s="4" t="s">
        <v>44</v>
      </c>
      <c r="D384" s="4" t="s">
        <v>45</v>
      </c>
      <c r="E384" s="4" t="s">
        <v>48</v>
      </c>
      <c r="F384" s="4" t="s">
        <v>49</v>
      </c>
      <c r="G384" s="4" t="s">
        <v>135</v>
      </c>
      <c r="H384" s="4" t="s">
        <v>44</v>
      </c>
      <c r="I384" s="4">
        <f t="shared" si="2"/>
        <v>13</v>
      </c>
      <c r="J384" s="4" t="str">
        <f t="shared" si="3"/>
        <v/>
      </c>
      <c r="K384" s="4" t="str">
        <f>VLOOKUP(MONTH(B384),'03_Lookup'!A:B,2,FALSE)</f>
        <v>Mar</v>
      </c>
      <c r="L384" s="4" t="str">
        <f>IF(C384="","",VLOOKUP(MONTH(C384),'03_Lookup'!A:B,2,FALSE))</f>
        <v/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5" x14ac:dyDescent="0.25">
      <c r="A385" s="5">
        <v>382</v>
      </c>
      <c r="B385" s="6">
        <v>45299</v>
      </c>
      <c r="C385" s="4" t="s">
        <v>44</v>
      </c>
      <c r="D385" s="4" t="s">
        <v>45</v>
      </c>
      <c r="E385" s="4" t="s">
        <v>46</v>
      </c>
      <c r="F385" s="4" t="s">
        <v>51</v>
      </c>
      <c r="G385" s="4" t="s">
        <v>135</v>
      </c>
      <c r="H385" s="4" t="s">
        <v>44</v>
      </c>
      <c r="I385" s="4">
        <f t="shared" si="2"/>
        <v>2</v>
      </c>
      <c r="J385" s="4" t="str">
        <f t="shared" si="3"/>
        <v/>
      </c>
      <c r="K385" s="4" t="str">
        <f>VLOOKUP(MONTH(B385),'03_Lookup'!A:B,2,FALSE)</f>
        <v>Jan</v>
      </c>
      <c r="L385" s="4" t="str">
        <f>IF(C385="","",VLOOKUP(MONTH(C385),'03_Lookup'!A:B,2,FALSE))</f>
        <v/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5" x14ac:dyDescent="0.25">
      <c r="A386" s="5">
        <v>383</v>
      </c>
      <c r="B386" s="6">
        <v>45299</v>
      </c>
      <c r="C386" s="4" t="s">
        <v>44</v>
      </c>
      <c r="D386" s="4" t="s">
        <v>45</v>
      </c>
      <c r="E386" s="4" t="s">
        <v>48</v>
      </c>
      <c r="F386" s="4" t="s">
        <v>49</v>
      </c>
      <c r="G386" s="4" t="s">
        <v>135</v>
      </c>
      <c r="H386" s="4" t="s">
        <v>44</v>
      </c>
      <c r="I386" s="4">
        <f t="shared" si="2"/>
        <v>2</v>
      </c>
      <c r="J386" s="4" t="str">
        <f t="shared" si="3"/>
        <v/>
      </c>
      <c r="K386" s="4" t="str">
        <f>VLOOKUP(MONTH(B386),'03_Lookup'!A:B,2,FALSE)</f>
        <v>Jan</v>
      </c>
      <c r="L386" s="4" t="str">
        <f>IF(C386="","",VLOOKUP(MONTH(C386),'03_Lookup'!A:B,2,FALSE))</f>
        <v/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5" x14ac:dyDescent="0.25">
      <c r="A387" s="5">
        <v>384</v>
      </c>
      <c r="B387" s="6">
        <v>45362</v>
      </c>
      <c r="C387" s="4" t="s">
        <v>44</v>
      </c>
      <c r="D387" s="4" t="s">
        <v>45</v>
      </c>
      <c r="E387" s="4" t="s">
        <v>46</v>
      </c>
      <c r="F387" s="4" t="s">
        <v>49</v>
      </c>
      <c r="G387" s="4" t="s">
        <v>135</v>
      </c>
      <c r="H387" s="4" t="s">
        <v>44</v>
      </c>
      <c r="I387" s="4">
        <f t="shared" si="2"/>
        <v>11</v>
      </c>
      <c r="J387" s="4" t="str">
        <f t="shared" si="3"/>
        <v/>
      </c>
      <c r="K387" s="4" t="str">
        <f>VLOOKUP(MONTH(B387),'03_Lookup'!A:B,2,FALSE)</f>
        <v>Mar</v>
      </c>
      <c r="L387" s="4" t="str">
        <f>IF(C387="","",VLOOKUP(MONTH(C387),'03_Lookup'!A:B,2,FALSE))</f>
        <v/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5" x14ac:dyDescent="0.25">
      <c r="A388" s="5">
        <v>385</v>
      </c>
      <c r="B388" s="6">
        <v>45372</v>
      </c>
      <c r="C388" s="4" t="s">
        <v>44</v>
      </c>
      <c r="D388" s="4" t="s">
        <v>45</v>
      </c>
      <c r="E388" s="4" t="s">
        <v>48</v>
      </c>
      <c r="F388" s="4" t="s">
        <v>51</v>
      </c>
      <c r="G388" s="4" t="s">
        <v>136</v>
      </c>
      <c r="H388" s="4" t="s">
        <v>44</v>
      </c>
      <c r="I388" s="4">
        <f t="shared" si="2"/>
        <v>12</v>
      </c>
      <c r="J388" s="4" t="str">
        <f t="shared" si="3"/>
        <v/>
      </c>
      <c r="K388" s="4" t="str">
        <f>VLOOKUP(MONTH(B388),'03_Lookup'!A:B,2,FALSE)</f>
        <v>Mar</v>
      </c>
      <c r="L388" s="4" t="str">
        <f>IF(C388="","",VLOOKUP(MONTH(C388),'03_Lookup'!A:B,2,FALSE))</f>
        <v/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5" x14ac:dyDescent="0.25">
      <c r="A389" s="5">
        <v>386</v>
      </c>
      <c r="B389" s="6">
        <v>45312</v>
      </c>
      <c r="C389" s="4" t="s">
        <v>44</v>
      </c>
      <c r="D389" s="4" t="s">
        <v>45</v>
      </c>
      <c r="E389" s="4" t="s">
        <v>46</v>
      </c>
      <c r="F389" s="4" t="s">
        <v>51</v>
      </c>
      <c r="G389" s="4" t="s">
        <v>136</v>
      </c>
      <c r="H389" s="4" t="s">
        <v>44</v>
      </c>
      <c r="I389" s="4">
        <f t="shared" si="2"/>
        <v>3</v>
      </c>
      <c r="J389" s="4" t="str">
        <f t="shared" si="3"/>
        <v/>
      </c>
      <c r="K389" s="4" t="str">
        <f>VLOOKUP(MONTH(B389),'03_Lookup'!A:B,2,FALSE)</f>
        <v>Jan</v>
      </c>
      <c r="L389" s="4" t="str">
        <f>IF(C389="","",VLOOKUP(MONTH(C389),'03_Lookup'!A:B,2,FALSE))</f>
        <v/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5" x14ac:dyDescent="0.25">
      <c r="A390" s="5">
        <v>387</v>
      </c>
      <c r="B390" s="6">
        <v>45341</v>
      </c>
      <c r="C390" s="4" t="s">
        <v>44</v>
      </c>
      <c r="D390" s="4" t="s">
        <v>45</v>
      </c>
      <c r="E390" s="4" t="s">
        <v>48</v>
      </c>
      <c r="F390" s="4" t="s">
        <v>47</v>
      </c>
      <c r="G390" s="4" t="s">
        <v>135</v>
      </c>
      <c r="H390" s="4" t="s">
        <v>44</v>
      </c>
      <c r="I390" s="4">
        <f t="shared" si="2"/>
        <v>8</v>
      </c>
      <c r="J390" s="4" t="str">
        <f t="shared" si="3"/>
        <v/>
      </c>
      <c r="K390" s="4" t="str">
        <f>VLOOKUP(MONTH(B390),'03_Lookup'!A:B,2,FALSE)</f>
        <v>Feb</v>
      </c>
      <c r="L390" s="4" t="str">
        <f>IF(C390="","",VLOOKUP(MONTH(C390),'03_Lookup'!A:B,2,FALSE))</f>
        <v/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5" x14ac:dyDescent="0.25">
      <c r="A391" s="5">
        <v>388</v>
      </c>
      <c r="B391" s="6">
        <v>45317</v>
      </c>
      <c r="C391" s="7"/>
      <c r="D391" s="4" t="s">
        <v>45</v>
      </c>
      <c r="E391" s="4" t="s">
        <v>46</v>
      </c>
      <c r="F391" s="4" t="s">
        <v>47</v>
      </c>
      <c r="G391" s="4" t="s">
        <v>135</v>
      </c>
      <c r="H391" s="4"/>
      <c r="I391" s="4">
        <f t="shared" si="2"/>
        <v>4</v>
      </c>
      <c r="J391" s="4" t="str">
        <f t="shared" si="3"/>
        <v/>
      </c>
      <c r="K391" s="4" t="str">
        <f>VLOOKUP(MONTH(B391),'03_Lookup'!A:B,2,FALSE)</f>
        <v>Jan</v>
      </c>
      <c r="L391" s="4" t="str">
        <f>IF(C391="","",VLOOKUP(MONTH(C391),'03_Lookup'!A:B,2,FALSE))</f>
        <v/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5" x14ac:dyDescent="0.25">
      <c r="A392" s="5">
        <v>389</v>
      </c>
      <c r="B392" s="6">
        <v>45347</v>
      </c>
      <c r="C392" s="4" t="s">
        <v>44</v>
      </c>
      <c r="D392" s="4" t="s">
        <v>45</v>
      </c>
      <c r="E392" s="4" t="s">
        <v>46</v>
      </c>
      <c r="F392" s="4" t="s">
        <v>47</v>
      </c>
      <c r="G392" s="4" t="s">
        <v>135</v>
      </c>
      <c r="H392" s="4" t="s">
        <v>44</v>
      </c>
      <c r="I392" s="4">
        <f t="shared" si="2"/>
        <v>8</v>
      </c>
      <c r="J392" s="4" t="str">
        <f t="shared" si="3"/>
        <v/>
      </c>
      <c r="K392" s="4" t="str">
        <f>VLOOKUP(MONTH(B392),'03_Lookup'!A:B,2,FALSE)</f>
        <v>Feb</v>
      </c>
      <c r="L392" s="4" t="str">
        <f>IF(C392="","",VLOOKUP(MONTH(C392),'03_Lookup'!A:B,2,FALSE))</f>
        <v/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5" x14ac:dyDescent="0.25">
      <c r="A393" s="5">
        <v>390</v>
      </c>
      <c r="B393" s="6">
        <v>45369</v>
      </c>
      <c r="C393" s="4" t="s">
        <v>44</v>
      </c>
      <c r="D393" s="4" t="s">
        <v>45</v>
      </c>
      <c r="E393" s="4" t="s">
        <v>46</v>
      </c>
      <c r="F393" s="4" t="s">
        <v>49</v>
      </c>
      <c r="G393" s="4" t="s">
        <v>135</v>
      </c>
      <c r="H393" s="4" t="s">
        <v>44</v>
      </c>
      <c r="I393" s="4">
        <f t="shared" si="2"/>
        <v>12</v>
      </c>
      <c r="J393" s="4" t="str">
        <f t="shared" si="3"/>
        <v/>
      </c>
      <c r="K393" s="4" t="str">
        <f>VLOOKUP(MONTH(B393),'03_Lookup'!A:B,2,FALSE)</f>
        <v>Mar</v>
      </c>
      <c r="L393" s="4" t="str">
        <f>IF(C393="","",VLOOKUP(MONTH(C393),'03_Lookup'!A:B,2,FALSE))</f>
        <v/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5" x14ac:dyDescent="0.25">
      <c r="A394" s="5">
        <v>391</v>
      </c>
      <c r="B394" s="6">
        <v>45338</v>
      </c>
      <c r="C394" s="4" t="s">
        <v>44</v>
      </c>
      <c r="D394" s="4" t="s">
        <v>45</v>
      </c>
      <c r="E394" s="4" t="s">
        <v>48</v>
      </c>
      <c r="F394" s="4" t="s">
        <v>47</v>
      </c>
      <c r="G394" s="4" t="s">
        <v>136</v>
      </c>
      <c r="H394" s="4" t="s">
        <v>44</v>
      </c>
      <c r="I394" s="4">
        <f t="shared" si="2"/>
        <v>7</v>
      </c>
      <c r="J394" s="4" t="str">
        <f t="shared" si="3"/>
        <v/>
      </c>
      <c r="K394" s="4" t="str">
        <f>VLOOKUP(MONTH(B394),'03_Lookup'!A:B,2,FALSE)</f>
        <v>Feb</v>
      </c>
      <c r="L394" s="4" t="str">
        <f>IF(C394="","",VLOOKUP(MONTH(C394),'03_Lookup'!A:B,2,FALSE))</f>
        <v/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5" x14ac:dyDescent="0.25">
      <c r="A395" s="5">
        <v>392</v>
      </c>
      <c r="B395" s="6">
        <v>45322</v>
      </c>
      <c r="C395" s="4" t="s">
        <v>44</v>
      </c>
      <c r="D395" s="4" t="s">
        <v>45</v>
      </c>
      <c r="E395" s="4" t="s">
        <v>48</v>
      </c>
      <c r="F395" s="4" t="s">
        <v>47</v>
      </c>
      <c r="G395" s="4" t="s">
        <v>136</v>
      </c>
      <c r="H395" s="4" t="s">
        <v>44</v>
      </c>
      <c r="I395" s="4">
        <f t="shared" si="2"/>
        <v>5</v>
      </c>
      <c r="J395" s="4" t="str">
        <f t="shared" si="3"/>
        <v/>
      </c>
      <c r="K395" s="4" t="str">
        <f>VLOOKUP(MONTH(B395),'03_Lookup'!A:B,2,FALSE)</f>
        <v>Jan</v>
      </c>
      <c r="L395" s="4" t="str">
        <f>IF(C395="","",VLOOKUP(MONTH(C395),'03_Lookup'!A:B,2,FALSE))</f>
        <v/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5" x14ac:dyDescent="0.25">
      <c r="A396" s="5">
        <v>393</v>
      </c>
      <c r="B396" s="6">
        <v>45317</v>
      </c>
      <c r="C396" s="4" t="s">
        <v>44</v>
      </c>
      <c r="D396" s="4" t="s">
        <v>45</v>
      </c>
      <c r="E396" s="4" t="s">
        <v>46</v>
      </c>
      <c r="F396" s="4" t="s">
        <v>49</v>
      </c>
      <c r="G396" s="4" t="s">
        <v>135</v>
      </c>
      <c r="H396" s="4" t="s">
        <v>44</v>
      </c>
      <c r="I396" s="4">
        <f t="shared" si="2"/>
        <v>4</v>
      </c>
      <c r="J396" s="4" t="str">
        <f t="shared" si="3"/>
        <v/>
      </c>
      <c r="K396" s="4" t="str">
        <f>VLOOKUP(MONTH(B396),'03_Lookup'!A:B,2,FALSE)</f>
        <v>Jan</v>
      </c>
      <c r="L396" s="4" t="str">
        <f>IF(C396="","",VLOOKUP(MONTH(C396),'03_Lookup'!A:B,2,FALSE))</f>
        <v/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5" x14ac:dyDescent="0.25">
      <c r="A397" s="5">
        <v>394</v>
      </c>
      <c r="B397" s="6">
        <v>45307</v>
      </c>
      <c r="C397" s="4" t="s">
        <v>44</v>
      </c>
      <c r="D397" s="4" t="s">
        <v>45</v>
      </c>
      <c r="E397" s="4" t="s">
        <v>46</v>
      </c>
      <c r="F397" s="4" t="s">
        <v>47</v>
      </c>
      <c r="G397" s="4" t="s">
        <v>135</v>
      </c>
      <c r="H397" s="4" t="s">
        <v>44</v>
      </c>
      <c r="I397" s="4">
        <f t="shared" si="2"/>
        <v>3</v>
      </c>
      <c r="J397" s="4" t="str">
        <f t="shared" si="3"/>
        <v/>
      </c>
      <c r="K397" s="4" t="str">
        <f>VLOOKUP(MONTH(B397),'03_Lookup'!A:B,2,FALSE)</f>
        <v>Jan</v>
      </c>
      <c r="L397" s="4" t="str">
        <f>IF(C397="","",VLOOKUP(MONTH(C397),'03_Lookup'!A:B,2,FALSE))</f>
        <v/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5" x14ac:dyDescent="0.25">
      <c r="A398" s="5">
        <v>395</v>
      </c>
      <c r="B398" s="6">
        <v>45313</v>
      </c>
      <c r="C398" s="4" t="s">
        <v>44</v>
      </c>
      <c r="D398" s="4" t="s">
        <v>45</v>
      </c>
      <c r="E398" s="4" t="s">
        <v>46</v>
      </c>
      <c r="F398" s="4" t="s">
        <v>49</v>
      </c>
      <c r="G398" s="4" t="s">
        <v>136</v>
      </c>
      <c r="H398" s="4" t="s">
        <v>44</v>
      </c>
      <c r="I398" s="4">
        <f t="shared" si="2"/>
        <v>4</v>
      </c>
      <c r="J398" s="4" t="str">
        <f t="shared" si="3"/>
        <v/>
      </c>
      <c r="K398" s="4" t="str">
        <f>VLOOKUP(MONTH(B398),'03_Lookup'!A:B,2,FALSE)</f>
        <v>Jan</v>
      </c>
      <c r="L398" s="4" t="str">
        <f>IF(C398="","",VLOOKUP(MONTH(C398),'03_Lookup'!A:B,2,FALSE))</f>
        <v/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5" x14ac:dyDescent="0.25">
      <c r="A399" s="5">
        <v>396</v>
      </c>
      <c r="B399" s="6">
        <v>45300</v>
      </c>
      <c r="C399" s="4" t="s">
        <v>44</v>
      </c>
      <c r="D399" s="4" t="s">
        <v>45</v>
      </c>
      <c r="E399" s="4" t="s">
        <v>48</v>
      </c>
      <c r="F399" s="4" t="s">
        <v>49</v>
      </c>
      <c r="G399" s="4" t="s">
        <v>135</v>
      </c>
      <c r="H399" s="4" t="s">
        <v>44</v>
      </c>
      <c r="I399" s="4">
        <f t="shared" si="2"/>
        <v>2</v>
      </c>
      <c r="J399" s="4" t="str">
        <f t="shared" si="3"/>
        <v/>
      </c>
      <c r="K399" s="4" t="str">
        <f>VLOOKUP(MONTH(B399),'03_Lookup'!A:B,2,FALSE)</f>
        <v>Jan</v>
      </c>
      <c r="L399" s="4" t="str">
        <f>IF(C399="","",VLOOKUP(MONTH(C399),'03_Lookup'!A:B,2,FALSE))</f>
        <v/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5" x14ac:dyDescent="0.25">
      <c r="A400" s="5">
        <v>397</v>
      </c>
      <c r="B400" s="6">
        <v>45292</v>
      </c>
      <c r="C400" s="4" t="s">
        <v>44</v>
      </c>
      <c r="D400" s="4" t="s">
        <v>45</v>
      </c>
      <c r="E400" s="4" t="s">
        <v>46</v>
      </c>
      <c r="F400" s="4" t="s">
        <v>47</v>
      </c>
      <c r="G400" s="4" t="s">
        <v>136</v>
      </c>
      <c r="H400" s="4" t="s">
        <v>44</v>
      </c>
      <c r="I400" s="4">
        <f t="shared" si="2"/>
        <v>1</v>
      </c>
      <c r="J400" s="4" t="str">
        <f t="shared" si="3"/>
        <v/>
      </c>
      <c r="K400" s="4" t="str">
        <f>VLOOKUP(MONTH(B400),'03_Lookup'!A:B,2,FALSE)</f>
        <v>Jan</v>
      </c>
      <c r="L400" s="4" t="str">
        <f>IF(C400="","",VLOOKUP(MONTH(C400),'03_Lookup'!A:B,2,FALSE))</f>
        <v/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5" x14ac:dyDescent="0.25">
      <c r="A401" s="5">
        <v>398</v>
      </c>
      <c r="B401" s="6">
        <v>45381</v>
      </c>
      <c r="C401" s="4" t="s">
        <v>44</v>
      </c>
      <c r="D401" s="4" t="s">
        <v>45</v>
      </c>
      <c r="E401" s="4" t="s">
        <v>48</v>
      </c>
      <c r="F401" s="4" t="s">
        <v>47</v>
      </c>
      <c r="G401" s="4" t="s">
        <v>135</v>
      </c>
      <c r="H401" s="4" t="s">
        <v>44</v>
      </c>
      <c r="I401" s="4">
        <f t="shared" si="2"/>
        <v>13</v>
      </c>
      <c r="J401" s="4" t="str">
        <f t="shared" si="3"/>
        <v/>
      </c>
      <c r="K401" s="4" t="str">
        <f>VLOOKUP(MONTH(B401),'03_Lookup'!A:B,2,FALSE)</f>
        <v>Mar</v>
      </c>
      <c r="L401" s="4" t="str">
        <f>IF(C401="","",VLOOKUP(MONTH(C401),'03_Lookup'!A:B,2,FALSE))</f>
        <v/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5" x14ac:dyDescent="0.25">
      <c r="A402" s="5">
        <v>399</v>
      </c>
      <c r="B402" s="6">
        <v>45328</v>
      </c>
      <c r="C402" s="4" t="s">
        <v>44</v>
      </c>
      <c r="D402" s="4" t="s">
        <v>45</v>
      </c>
      <c r="E402" s="4" t="s">
        <v>46</v>
      </c>
      <c r="F402" s="4" t="s">
        <v>47</v>
      </c>
      <c r="G402" s="4" t="s">
        <v>135</v>
      </c>
      <c r="H402" s="4" t="s">
        <v>44</v>
      </c>
      <c r="I402" s="4">
        <f t="shared" si="2"/>
        <v>6</v>
      </c>
      <c r="J402" s="4" t="str">
        <f t="shared" si="3"/>
        <v/>
      </c>
      <c r="K402" s="4" t="str">
        <f>VLOOKUP(MONTH(B402),'03_Lookup'!A:B,2,FALSE)</f>
        <v>Feb</v>
      </c>
      <c r="L402" s="4" t="str">
        <f>IF(C402="","",VLOOKUP(MONTH(C402),'03_Lookup'!A:B,2,FALSE))</f>
        <v/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</sheetData>
  <mergeCells count="1">
    <mergeCell ref="A1:L1"/>
  </mergeCells>
  <dataValidations count="4">
    <dataValidation type="list" allowBlank="1" showErrorMessage="1" sqref="D4:D402" xr:uid="{00000000-0002-0000-0300-000000000000}">
      <formula1>"Open,Closed"</formula1>
    </dataValidation>
    <dataValidation type="list" allowBlank="1" showErrorMessage="1" sqref="E4:E402" xr:uid="{00000000-0002-0000-0300-000001000000}">
      <formula1>"Series,Movie"</formula1>
    </dataValidation>
    <dataValidation type="list" allowBlank="1" showErrorMessage="1" sqref="F4:F402" xr:uid="{00000000-0002-0000-0300-000002000000}">
      <formula1>"Medium,High,Low"</formula1>
    </dataValidation>
    <dataValidation type="list" allowBlank="1" showErrorMessage="1" sqref="G4:G402" xr:uid="{00000000-0002-0000-0300-000003000000}">
      <formula1>"Team A,Team B"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6"/>
  <sheetViews>
    <sheetView workbookViewId="0"/>
  </sheetViews>
  <sheetFormatPr baseColWidth="10" defaultColWidth="12.6328125" defaultRowHeight="15.75" customHeight="1" x14ac:dyDescent="0.25"/>
  <cols>
    <col min="1" max="1" width="15.08984375" customWidth="1"/>
    <col min="2" max="2" width="10" customWidth="1"/>
  </cols>
  <sheetData>
    <row r="1" spans="1:6" ht="16.5" customHeight="1" thickBot="1" x14ac:dyDescent="0.45">
      <c r="A1" s="119" t="s">
        <v>123</v>
      </c>
      <c r="B1" s="99"/>
      <c r="C1" s="99"/>
      <c r="D1" s="26"/>
      <c r="E1" s="24"/>
      <c r="F1" s="23"/>
    </row>
    <row r="2" spans="1:6" ht="15.75" customHeight="1" x14ac:dyDescent="0.25">
      <c r="A2" s="41"/>
      <c r="B2" s="41"/>
      <c r="C2" s="41"/>
      <c r="E2" s="25"/>
    </row>
    <row r="3" spans="1:6" ht="15.75" customHeight="1" thickBot="1" x14ac:dyDescent="0.35">
      <c r="A3" s="136" t="s">
        <v>124</v>
      </c>
      <c r="B3" s="136"/>
    </row>
    <row r="4" spans="1:6" ht="15.75" customHeight="1" thickBot="1" x14ac:dyDescent="0.35">
      <c r="A4" s="101" t="s">
        <v>84</v>
      </c>
      <c r="B4" s="100" t="s">
        <v>85</v>
      </c>
    </row>
    <row r="5" spans="1:6" ht="15.75" customHeight="1" x14ac:dyDescent="0.3">
      <c r="A5" s="20">
        <v>1</v>
      </c>
      <c r="B5" s="102" t="s">
        <v>86</v>
      </c>
    </row>
    <row r="6" spans="1:6" ht="15.75" customHeight="1" x14ac:dyDescent="0.3">
      <c r="A6" s="20">
        <v>2</v>
      </c>
      <c r="B6" s="20" t="s">
        <v>87</v>
      </c>
    </row>
    <row r="7" spans="1:6" ht="15.75" customHeight="1" x14ac:dyDescent="0.3">
      <c r="A7" s="20">
        <v>3</v>
      </c>
      <c r="B7" s="20" t="s">
        <v>88</v>
      </c>
    </row>
    <row r="8" spans="1:6" ht="15.75" customHeight="1" x14ac:dyDescent="0.3">
      <c r="A8" s="20">
        <v>4</v>
      </c>
      <c r="B8" s="20" t="s">
        <v>89</v>
      </c>
    </row>
    <row r="9" spans="1:6" ht="15.75" customHeight="1" x14ac:dyDescent="0.3">
      <c r="A9" s="20">
        <v>5</v>
      </c>
      <c r="B9" s="20" t="s">
        <v>90</v>
      </c>
    </row>
    <row r="10" spans="1:6" ht="15.75" customHeight="1" x14ac:dyDescent="0.3">
      <c r="A10" s="20">
        <v>6</v>
      </c>
      <c r="B10" s="20" t="s">
        <v>91</v>
      </c>
    </row>
    <row r="11" spans="1:6" ht="15.75" customHeight="1" x14ac:dyDescent="0.3">
      <c r="A11" s="20">
        <v>7</v>
      </c>
      <c r="B11" s="20" t="s">
        <v>92</v>
      </c>
    </row>
    <row r="12" spans="1:6" ht="15.75" customHeight="1" x14ac:dyDescent="0.3">
      <c r="A12" s="20">
        <v>8</v>
      </c>
      <c r="B12" s="20" t="s">
        <v>93</v>
      </c>
    </row>
    <row r="13" spans="1:6" ht="15.75" customHeight="1" x14ac:dyDescent="0.3">
      <c r="A13" s="20">
        <v>9</v>
      </c>
      <c r="B13" s="20" t="s">
        <v>94</v>
      </c>
    </row>
    <row r="14" spans="1:6" ht="15.75" customHeight="1" x14ac:dyDescent="0.3">
      <c r="A14" s="20">
        <v>10</v>
      </c>
      <c r="B14" s="20" t="s">
        <v>95</v>
      </c>
    </row>
    <row r="15" spans="1:6" ht="15.75" customHeight="1" x14ac:dyDescent="0.3">
      <c r="A15" s="20">
        <v>11</v>
      </c>
      <c r="B15" s="20" t="s">
        <v>96</v>
      </c>
    </row>
    <row r="16" spans="1:6" ht="15.75" customHeight="1" x14ac:dyDescent="0.3">
      <c r="A16" s="20">
        <v>12</v>
      </c>
      <c r="B16" s="20" t="s">
        <v>97</v>
      </c>
    </row>
  </sheetData>
  <mergeCells count="1"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7"/>
  <sheetViews>
    <sheetView topLeftCell="A9" workbookViewId="0">
      <selection activeCell="E22" sqref="E22"/>
    </sheetView>
  </sheetViews>
  <sheetFormatPr baseColWidth="10" defaultColWidth="12.6328125" defaultRowHeight="15.75" customHeight="1" x14ac:dyDescent="0.25"/>
  <cols>
    <col min="1" max="1" width="13.1796875" bestFit="1" customWidth="1"/>
    <col min="2" max="2" width="30.453125" customWidth="1"/>
    <col min="5" max="5" width="21" customWidth="1"/>
    <col min="7" max="7" width="15.6328125" customWidth="1"/>
    <col min="8" max="8" width="16.90625" customWidth="1"/>
    <col min="9" max="9" width="17.6328125" customWidth="1"/>
    <col min="10" max="10" width="15.36328125" customWidth="1"/>
    <col min="11" max="11" width="8.08984375" customWidth="1"/>
  </cols>
  <sheetData>
    <row r="1" spans="1:11" ht="17.5" customHeight="1" thickBot="1" x14ac:dyDescent="0.3">
      <c r="A1" s="121" t="s">
        <v>125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</row>
    <row r="3" spans="1:11" ht="15.75" customHeight="1" thickBot="1" x14ac:dyDescent="0.35">
      <c r="A3" s="138" t="s">
        <v>98</v>
      </c>
      <c r="B3" s="138"/>
      <c r="D3" s="138" t="s">
        <v>99</v>
      </c>
      <c r="E3" s="138"/>
      <c r="G3" s="138" t="s">
        <v>100</v>
      </c>
      <c r="H3" s="138"/>
      <c r="I3" s="138"/>
      <c r="J3" s="138"/>
      <c r="K3" s="138"/>
    </row>
    <row r="4" spans="1:11" ht="14" x14ac:dyDescent="0.3">
      <c r="A4" s="107" t="s">
        <v>79</v>
      </c>
      <c r="B4" s="108" t="s">
        <v>7</v>
      </c>
      <c r="D4" s="107" t="s">
        <v>80</v>
      </c>
      <c r="E4" s="108" t="s">
        <v>11</v>
      </c>
      <c r="G4" s="27" t="s">
        <v>101</v>
      </c>
      <c r="H4" s="27" t="s">
        <v>7</v>
      </c>
      <c r="I4" s="27" t="s">
        <v>11</v>
      </c>
      <c r="J4" s="27" t="s">
        <v>102</v>
      </c>
      <c r="K4" s="27" t="s">
        <v>15</v>
      </c>
    </row>
    <row r="5" spans="1:11" ht="15.75" customHeight="1" x14ac:dyDescent="0.25">
      <c r="A5" s="13">
        <v>1</v>
      </c>
      <c r="B5" s="186">
        <v>31</v>
      </c>
      <c r="D5" s="13">
        <v>1</v>
      </c>
      <c r="E5" s="186">
        <v>3</v>
      </c>
      <c r="G5" s="8">
        <v>1</v>
      </c>
      <c r="H5" s="11">
        <f>IFERROR(_xlfn.XLOOKUP(A5,$A$5:$A$17,$B$5:$B$17),0)</f>
        <v>31</v>
      </c>
      <c r="I5" s="11">
        <f>IFERROR(_xlfn.XLOOKUP(D5,$D$5:$D$18,$E$5:$E$18),0)</f>
        <v>3</v>
      </c>
      <c r="J5" s="11">
        <f t="shared" ref="J5:J18" si="0">H5-I5</f>
        <v>28</v>
      </c>
      <c r="K5" s="11">
        <f>J5</f>
        <v>28</v>
      </c>
    </row>
    <row r="6" spans="1:11" ht="15.75" customHeight="1" x14ac:dyDescent="0.25">
      <c r="A6" s="14">
        <v>2</v>
      </c>
      <c r="B6" s="189">
        <v>36</v>
      </c>
      <c r="D6" s="14">
        <v>2</v>
      </c>
      <c r="E6" s="189">
        <v>14</v>
      </c>
      <c r="G6" s="8">
        <v>2</v>
      </c>
      <c r="H6" s="11">
        <f t="shared" ref="H6:H18" si="1">IFERROR(_xlfn.XLOOKUP(A6,$A$5:$A$17,$B$5:$B$17),0)</f>
        <v>36</v>
      </c>
      <c r="I6" s="11">
        <f t="shared" ref="I6:I18" si="2">IFERROR(_xlfn.XLOOKUP(D6,$D$5:$D$18,$E$5:$E$18),0)</f>
        <v>14</v>
      </c>
      <c r="J6" s="11">
        <f t="shared" si="0"/>
        <v>22</v>
      </c>
      <c r="K6" s="11">
        <f t="shared" ref="K6:K18" si="3">K5+J6</f>
        <v>50</v>
      </c>
    </row>
    <row r="7" spans="1:11" ht="15.75" customHeight="1" x14ac:dyDescent="0.25">
      <c r="A7" s="14">
        <v>3</v>
      </c>
      <c r="B7" s="189">
        <v>29</v>
      </c>
      <c r="D7" s="14">
        <v>3</v>
      </c>
      <c r="E7" s="189">
        <v>8</v>
      </c>
      <c r="G7" s="8">
        <v>3</v>
      </c>
      <c r="H7" s="11">
        <f t="shared" si="1"/>
        <v>29</v>
      </c>
      <c r="I7" s="11">
        <f t="shared" si="2"/>
        <v>8</v>
      </c>
      <c r="J7" s="11">
        <f t="shared" si="0"/>
        <v>21</v>
      </c>
      <c r="K7" s="11">
        <f t="shared" si="3"/>
        <v>71</v>
      </c>
    </row>
    <row r="8" spans="1:11" ht="15.75" customHeight="1" x14ac:dyDescent="0.25">
      <c r="A8" s="14">
        <v>4</v>
      </c>
      <c r="B8" s="189">
        <v>27</v>
      </c>
      <c r="D8" s="14">
        <v>4</v>
      </c>
      <c r="E8" s="189">
        <v>6</v>
      </c>
      <c r="G8" s="8">
        <v>4</v>
      </c>
      <c r="H8" s="11">
        <f t="shared" si="1"/>
        <v>27</v>
      </c>
      <c r="I8" s="11">
        <f t="shared" si="2"/>
        <v>6</v>
      </c>
      <c r="J8" s="11">
        <f t="shared" si="0"/>
        <v>21</v>
      </c>
      <c r="K8" s="11">
        <f t="shared" si="3"/>
        <v>92</v>
      </c>
    </row>
    <row r="9" spans="1:11" ht="15.75" customHeight="1" x14ac:dyDescent="0.25">
      <c r="A9" s="14">
        <v>5</v>
      </c>
      <c r="B9" s="189">
        <v>34</v>
      </c>
      <c r="D9" s="14">
        <v>5</v>
      </c>
      <c r="E9" s="189">
        <v>9</v>
      </c>
      <c r="G9" s="8">
        <v>5</v>
      </c>
      <c r="H9" s="11">
        <f t="shared" si="1"/>
        <v>34</v>
      </c>
      <c r="I9" s="11">
        <f t="shared" si="2"/>
        <v>9</v>
      </c>
      <c r="J9" s="11">
        <f t="shared" si="0"/>
        <v>25</v>
      </c>
      <c r="K9" s="11">
        <f t="shared" si="3"/>
        <v>117</v>
      </c>
    </row>
    <row r="10" spans="1:11" ht="15.75" customHeight="1" x14ac:dyDescent="0.25">
      <c r="A10" s="14">
        <v>6</v>
      </c>
      <c r="B10" s="189">
        <v>33</v>
      </c>
      <c r="D10" s="14">
        <v>6</v>
      </c>
      <c r="E10" s="189">
        <v>8</v>
      </c>
      <c r="G10" s="8">
        <v>6</v>
      </c>
      <c r="H10" s="11">
        <f t="shared" si="1"/>
        <v>33</v>
      </c>
      <c r="I10" s="11">
        <f t="shared" si="2"/>
        <v>8</v>
      </c>
      <c r="J10" s="11">
        <f t="shared" si="0"/>
        <v>25</v>
      </c>
      <c r="K10" s="11">
        <f t="shared" si="3"/>
        <v>142</v>
      </c>
    </row>
    <row r="11" spans="1:11" ht="15.75" customHeight="1" x14ac:dyDescent="0.25">
      <c r="A11" s="14">
        <v>7</v>
      </c>
      <c r="B11" s="189">
        <v>32</v>
      </c>
      <c r="D11" s="14">
        <v>7</v>
      </c>
      <c r="E11" s="189">
        <v>8</v>
      </c>
      <c r="G11" s="8">
        <v>7</v>
      </c>
      <c r="H11" s="11">
        <f t="shared" si="1"/>
        <v>32</v>
      </c>
      <c r="I11" s="11">
        <f t="shared" si="2"/>
        <v>8</v>
      </c>
      <c r="J11" s="11">
        <f t="shared" si="0"/>
        <v>24</v>
      </c>
      <c r="K11" s="11">
        <f t="shared" si="3"/>
        <v>166</v>
      </c>
    </row>
    <row r="12" spans="1:11" ht="15.75" customHeight="1" x14ac:dyDescent="0.25">
      <c r="A12" s="14">
        <v>8</v>
      </c>
      <c r="B12" s="189">
        <v>32</v>
      </c>
      <c r="D12" s="14">
        <v>8</v>
      </c>
      <c r="E12" s="189">
        <v>7</v>
      </c>
      <c r="G12" s="8">
        <v>8</v>
      </c>
      <c r="H12" s="11">
        <f t="shared" si="1"/>
        <v>32</v>
      </c>
      <c r="I12" s="11">
        <f t="shared" si="2"/>
        <v>7</v>
      </c>
      <c r="J12" s="11">
        <f t="shared" si="0"/>
        <v>25</v>
      </c>
      <c r="K12" s="11">
        <f t="shared" si="3"/>
        <v>191</v>
      </c>
    </row>
    <row r="13" spans="1:11" ht="15.75" customHeight="1" x14ac:dyDescent="0.25">
      <c r="A13" s="14">
        <v>9</v>
      </c>
      <c r="B13" s="189">
        <v>21</v>
      </c>
      <c r="D13" s="14">
        <v>9</v>
      </c>
      <c r="E13" s="189">
        <v>4</v>
      </c>
      <c r="G13" s="8">
        <v>9</v>
      </c>
      <c r="H13" s="11">
        <f t="shared" si="1"/>
        <v>21</v>
      </c>
      <c r="I13" s="11">
        <f t="shared" si="2"/>
        <v>4</v>
      </c>
      <c r="J13" s="11">
        <f t="shared" si="0"/>
        <v>17</v>
      </c>
      <c r="K13" s="11">
        <f t="shared" si="3"/>
        <v>208</v>
      </c>
    </row>
    <row r="14" spans="1:11" ht="15.75" customHeight="1" x14ac:dyDescent="0.25">
      <c r="A14" s="14">
        <v>10</v>
      </c>
      <c r="B14" s="189">
        <v>36</v>
      </c>
      <c r="D14" s="14">
        <v>10</v>
      </c>
      <c r="E14" s="189">
        <v>14</v>
      </c>
      <c r="G14" s="8">
        <v>10</v>
      </c>
      <c r="H14" s="11">
        <f t="shared" si="1"/>
        <v>36</v>
      </c>
      <c r="I14" s="11">
        <f t="shared" si="2"/>
        <v>14</v>
      </c>
      <c r="J14" s="11">
        <f t="shared" si="0"/>
        <v>22</v>
      </c>
      <c r="K14" s="11">
        <f t="shared" si="3"/>
        <v>230</v>
      </c>
    </row>
    <row r="15" spans="1:11" ht="15.75" customHeight="1" x14ac:dyDescent="0.25">
      <c r="A15" s="14">
        <v>11</v>
      </c>
      <c r="B15" s="189">
        <v>27</v>
      </c>
      <c r="D15" s="14">
        <v>11</v>
      </c>
      <c r="E15" s="189">
        <v>7</v>
      </c>
      <c r="G15" s="8">
        <v>11</v>
      </c>
      <c r="H15" s="11">
        <f t="shared" si="1"/>
        <v>27</v>
      </c>
      <c r="I15" s="11">
        <f t="shared" si="2"/>
        <v>7</v>
      </c>
      <c r="J15" s="11">
        <f t="shared" si="0"/>
        <v>20</v>
      </c>
      <c r="K15" s="11">
        <f t="shared" si="3"/>
        <v>250</v>
      </c>
    </row>
    <row r="16" spans="1:11" ht="15.75" customHeight="1" x14ac:dyDescent="0.25">
      <c r="A16" s="14">
        <v>12</v>
      </c>
      <c r="B16" s="189">
        <v>32</v>
      </c>
      <c r="D16" s="14">
        <v>12</v>
      </c>
      <c r="E16" s="189">
        <v>10</v>
      </c>
      <c r="G16" s="8">
        <v>12</v>
      </c>
      <c r="H16" s="11">
        <f t="shared" si="1"/>
        <v>32</v>
      </c>
      <c r="I16" s="11">
        <f t="shared" si="2"/>
        <v>10</v>
      </c>
      <c r="J16" s="11">
        <f t="shared" si="0"/>
        <v>22</v>
      </c>
      <c r="K16" s="11">
        <f t="shared" si="3"/>
        <v>272</v>
      </c>
    </row>
    <row r="17" spans="1:11" ht="15.75" customHeight="1" x14ac:dyDescent="0.25">
      <c r="A17" s="14">
        <v>13</v>
      </c>
      <c r="B17" s="189">
        <v>29</v>
      </c>
      <c r="D17" s="14">
        <v>13</v>
      </c>
      <c r="E17" s="189">
        <v>7</v>
      </c>
      <c r="G17" s="8">
        <v>13</v>
      </c>
      <c r="H17" s="11">
        <f t="shared" si="1"/>
        <v>29</v>
      </c>
      <c r="I17" s="11">
        <f t="shared" si="2"/>
        <v>7</v>
      </c>
      <c r="J17" s="11">
        <f t="shared" si="0"/>
        <v>22</v>
      </c>
      <c r="K17" s="11">
        <f t="shared" si="3"/>
        <v>294</v>
      </c>
    </row>
    <row r="18" spans="1:11" ht="13" x14ac:dyDescent="0.3">
      <c r="A18" s="15" t="s">
        <v>107</v>
      </c>
      <c r="B18" s="192">
        <v>399</v>
      </c>
      <c r="D18" s="14">
        <v>14</v>
      </c>
      <c r="E18" s="189">
        <v>4</v>
      </c>
      <c r="G18" s="8">
        <v>14</v>
      </c>
      <c r="H18" s="11">
        <f t="shared" si="1"/>
        <v>0</v>
      </c>
      <c r="I18" s="11">
        <f t="shared" si="2"/>
        <v>4</v>
      </c>
      <c r="J18" s="11">
        <f t="shared" si="0"/>
        <v>-4</v>
      </c>
      <c r="K18" s="9">
        <f t="shared" si="3"/>
        <v>290</v>
      </c>
    </row>
    <row r="19" spans="1:11" ht="15.75" customHeight="1" x14ac:dyDescent="0.25">
      <c r="D19" s="15" t="s">
        <v>107</v>
      </c>
      <c r="E19" s="192">
        <v>109</v>
      </c>
    </row>
    <row r="21" spans="1:11" ht="15.75" customHeight="1" thickBot="1" x14ac:dyDescent="0.35">
      <c r="A21" s="138" t="s">
        <v>103</v>
      </c>
      <c r="B21" s="138"/>
      <c r="D21" s="139" t="s">
        <v>104</v>
      </c>
      <c r="E21" s="139"/>
    </row>
    <row r="22" spans="1:11" ht="15.75" customHeight="1" x14ac:dyDescent="0.3">
      <c r="A22" s="107" t="s">
        <v>40</v>
      </c>
      <c r="B22" s="108" t="s">
        <v>105</v>
      </c>
      <c r="D22" s="112" t="s">
        <v>126</v>
      </c>
      <c r="E22" s="112" t="s">
        <v>39</v>
      </c>
      <c r="F22" s="113"/>
      <c r="G22" s="114"/>
    </row>
    <row r="23" spans="1:11" ht="13" x14ac:dyDescent="0.3">
      <c r="A23" s="13" t="s">
        <v>48</v>
      </c>
      <c r="B23" s="31">
        <v>117.38181818181818</v>
      </c>
      <c r="D23" s="110" t="s">
        <v>41</v>
      </c>
      <c r="E23" s="13" t="s">
        <v>45</v>
      </c>
      <c r="F23" s="115" t="s">
        <v>50</v>
      </c>
      <c r="G23" s="109" t="s">
        <v>107</v>
      </c>
    </row>
    <row r="24" spans="1:11" ht="15.75" customHeight="1" x14ac:dyDescent="0.25">
      <c r="A24" s="14" t="s">
        <v>46</v>
      </c>
      <c r="B24" s="32">
        <v>131.58620689655172</v>
      </c>
      <c r="D24" s="13" t="s">
        <v>51</v>
      </c>
      <c r="E24" s="184">
        <v>46</v>
      </c>
      <c r="F24" s="185">
        <v>35</v>
      </c>
      <c r="G24" s="186">
        <v>81</v>
      </c>
    </row>
    <row r="25" spans="1:11" ht="12.5" x14ac:dyDescent="0.25">
      <c r="A25" s="15" t="s">
        <v>107</v>
      </c>
      <c r="B25" s="33">
        <v>124.67256637168141</v>
      </c>
      <c r="D25" s="14" t="s">
        <v>49</v>
      </c>
      <c r="E25" s="187">
        <v>70</v>
      </c>
      <c r="F25" s="188">
        <v>26</v>
      </c>
      <c r="G25" s="189">
        <v>96</v>
      </c>
    </row>
    <row r="26" spans="1:11" ht="12.5" x14ac:dyDescent="0.25">
      <c r="D26" s="14" t="s">
        <v>47</v>
      </c>
      <c r="E26" s="187">
        <v>170</v>
      </c>
      <c r="F26" s="188">
        <v>52</v>
      </c>
      <c r="G26" s="189">
        <v>222</v>
      </c>
    </row>
    <row r="27" spans="1:11" ht="15.75" customHeight="1" x14ac:dyDescent="0.25">
      <c r="D27" s="15" t="s">
        <v>107</v>
      </c>
      <c r="E27" s="190">
        <v>286</v>
      </c>
      <c r="F27" s="191">
        <v>113</v>
      </c>
      <c r="G27" s="192">
        <v>399</v>
      </c>
    </row>
  </sheetData>
  <mergeCells count="6">
    <mergeCell ref="A1:K1"/>
    <mergeCell ref="D3:E3"/>
    <mergeCell ref="A21:B21"/>
    <mergeCell ref="D21:E21"/>
    <mergeCell ref="G3:K3"/>
    <mergeCell ref="A3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autoPageBreaks="0"/>
  </sheetPr>
  <dimension ref="B1:AF56"/>
  <sheetViews>
    <sheetView showGridLines="0" showRowColHeaders="0" tabSelected="1" zoomScale="40" zoomScaleNormal="40" workbookViewId="0">
      <selection activeCell="AH18" sqref="AH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2.6328125" defaultRowHeight="15.75" customHeight="1" x14ac:dyDescent="0.25"/>
  <cols>
    <col min="2" max="2" width="12.26953125" customWidth="1"/>
    <col min="3" max="13" width="12.6328125" hidden="1" customWidth="1"/>
  </cols>
  <sheetData>
    <row r="1" spans="2:27" ht="16.5" customHeight="1" x14ac:dyDescent="0.25"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140" t="s">
        <v>128</v>
      </c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28"/>
    </row>
    <row r="2" spans="2:27" ht="28.5" customHeight="1" x14ac:dyDescent="0.25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28"/>
    </row>
    <row r="3" spans="2:27" ht="12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28"/>
    </row>
    <row r="4" spans="2:27" ht="21.5" customHeight="1" x14ac:dyDescent="0.25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111"/>
      <c r="O4" s="111"/>
      <c r="P4" s="111"/>
      <c r="Q4" s="182" t="s">
        <v>129</v>
      </c>
      <c r="R4" s="183"/>
      <c r="S4" s="183"/>
      <c r="T4" s="183"/>
      <c r="U4" s="183"/>
      <c r="V4" s="183"/>
      <c r="W4" s="183"/>
      <c r="X4" s="111"/>
      <c r="Y4" s="111"/>
      <c r="Z4" s="111"/>
      <c r="AA4" s="28"/>
    </row>
    <row r="5" spans="2:27" ht="10.5" customHeight="1" x14ac:dyDescent="0.25"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111"/>
      <c r="O5" s="111"/>
      <c r="P5" s="111"/>
      <c r="Q5" s="117"/>
      <c r="R5" s="117"/>
      <c r="S5" s="117"/>
      <c r="T5" s="117"/>
      <c r="U5" s="117"/>
      <c r="V5" s="117"/>
      <c r="W5" s="117"/>
      <c r="X5" s="111"/>
      <c r="Y5" s="111"/>
      <c r="Z5" s="111"/>
      <c r="AA5" s="28"/>
    </row>
    <row r="6" spans="2:27" ht="14.5" customHeight="1" x14ac:dyDescent="0.2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4"/>
      <c r="Z6" s="28"/>
      <c r="AA6" s="28"/>
    </row>
    <row r="7" spans="2:27" ht="24.5" customHeight="1" x14ac:dyDescent="0.25"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116" t="s">
        <v>131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4"/>
      <c r="Z7" s="28"/>
      <c r="AA7" s="28"/>
    </row>
    <row r="8" spans="2:27" ht="22.5" customHeight="1" x14ac:dyDescent="0.2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118" t="s">
        <v>132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4"/>
      <c r="Z8" s="28"/>
      <c r="AA8" s="28"/>
    </row>
    <row r="9" spans="2:27" ht="22.5" customHeight="1" thickBot="1" x14ac:dyDescent="0.3"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6"/>
      <c r="Z9" s="29"/>
      <c r="AA9" s="28"/>
    </row>
    <row r="10" spans="2:27" ht="15.75" customHeight="1" x14ac:dyDescent="0.25"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151">
        <v>399</v>
      </c>
      <c r="O10" s="152"/>
      <c r="P10" s="153"/>
      <c r="Q10" s="157">
        <f>SUM('04_Analysis'!E5:E18)</f>
        <v>109</v>
      </c>
      <c r="R10" s="158"/>
      <c r="S10" s="159"/>
      <c r="T10" s="157">
        <f>'04_Analysis'!K18</f>
        <v>290</v>
      </c>
      <c r="U10" s="158"/>
      <c r="V10" s="159"/>
      <c r="W10" s="163">
        <f ca="1">IFERROR(__xludf.DUMMYFUNCTION("AVERAGE(FILTER('02_Prepared_Data'!H2:H400,'02_Prepared_Data'!H2:H400&lt;&gt;""""))"),124.672566371681)</f>
        <v>124.672566371681</v>
      </c>
      <c r="X10" s="164"/>
      <c r="Y10" s="165"/>
      <c r="Z10" s="28"/>
      <c r="AA10" s="28"/>
    </row>
    <row r="11" spans="2:27" ht="15.75" customHeight="1" thickBot="1" x14ac:dyDescent="0.3"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154"/>
      <c r="O11" s="155"/>
      <c r="P11" s="156"/>
      <c r="Q11" s="160"/>
      <c r="R11" s="161"/>
      <c r="S11" s="162"/>
      <c r="T11" s="160"/>
      <c r="U11" s="161"/>
      <c r="V11" s="162"/>
      <c r="W11" s="166"/>
      <c r="X11" s="167"/>
      <c r="Y11" s="168"/>
      <c r="Z11" s="28"/>
      <c r="AA11" s="28"/>
    </row>
    <row r="12" spans="2:27" ht="18" customHeight="1" thickBot="1" x14ac:dyDescent="0.3"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169" t="s">
        <v>7</v>
      </c>
      <c r="O12" s="170"/>
      <c r="P12" s="171"/>
      <c r="Q12" s="169" t="s">
        <v>11</v>
      </c>
      <c r="R12" s="170"/>
      <c r="S12" s="171"/>
      <c r="T12" s="169" t="s">
        <v>15</v>
      </c>
      <c r="U12" s="170"/>
      <c r="V12" s="171"/>
      <c r="W12" s="169" t="s">
        <v>106</v>
      </c>
      <c r="X12" s="170"/>
      <c r="Y12" s="171"/>
      <c r="Z12" s="28"/>
      <c r="AA12" s="28"/>
    </row>
    <row r="13" spans="2:27" ht="16.5" customHeight="1" x14ac:dyDescent="0.25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172" t="s">
        <v>133</v>
      </c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4"/>
      <c r="Z13" s="28"/>
      <c r="AA13" s="28"/>
    </row>
    <row r="14" spans="2:27" ht="24" customHeight="1" x14ac:dyDescent="0.25"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175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7"/>
      <c r="Z14" s="28"/>
      <c r="AA14" s="28"/>
    </row>
    <row r="15" spans="2:27" ht="15.75" customHeight="1" x14ac:dyDescent="0.25"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175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7"/>
      <c r="Z15" s="28"/>
      <c r="AA15" s="28"/>
    </row>
    <row r="16" spans="2:27" ht="14.5" customHeight="1" thickBot="1" x14ac:dyDescent="0.3"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178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80"/>
      <c r="Z16" s="28"/>
      <c r="AA16" s="28"/>
    </row>
    <row r="17" spans="2:32" ht="18" customHeight="1" x14ac:dyDescent="0.25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28"/>
      <c r="AA17" s="28"/>
    </row>
    <row r="18" spans="2:32" ht="15.75" customHeight="1" x14ac:dyDescent="0.25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28"/>
      <c r="AA18" s="28"/>
    </row>
    <row r="19" spans="2:32" ht="15.75" customHeight="1" x14ac:dyDescent="0.25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28"/>
      <c r="AA19" s="28"/>
    </row>
    <row r="20" spans="2:32" ht="15.75" customHeight="1" x14ac:dyDescent="0.25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28"/>
      <c r="AA20" s="28"/>
    </row>
    <row r="21" spans="2:32" ht="15.75" customHeight="1" x14ac:dyDescent="0.25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28"/>
      <c r="AA21" s="28"/>
    </row>
    <row r="22" spans="2:32" ht="15.75" customHeight="1" x14ac:dyDescent="0.25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28"/>
      <c r="AA22" s="28"/>
    </row>
    <row r="23" spans="2:32" ht="15.75" customHeight="1" x14ac:dyDescent="0.25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28"/>
      <c r="AA23" s="28"/>
    </row>
    <row r="24" spans="2:32" ht="15.75" customHeight="1" x14ac:dyDescent="0.25"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28"/>
      <c r="AA24" s="28"/>
    </row>
    <row r="25" spans="2:32" ht="15.75" customHeight="1" x14ac:dyDescent="0.25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28"/>
      <c r="AA25" s="28"/>
    </row>
    <row r="26" spans="2:32" ht="15.75" customHeight="1" x14ac:dyDescent="0.25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28"/>
      <c r="AA26" s="28"/>
      <c r="AF26" s="28"/>
    </row>
    <row r="27" spans="2:32" ht="15.75" customHeight="1" x14ac:dyDescent="0.25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28"/>
      <c r="AA27" s="28"/>
    </row>
    <row r="28" spans="2:32" ht="15.75" customHeight="1" x14ac:dyDescent="0.25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28"/>
      <c r="AA28" s="28"/>
    </row>
    <row r="29" spans="2:32" ht="15.75" customHeight="1" x14ac:dyDescent="0.25"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28"/>
      <c r="AA29" s="28"/>
    </row>
    <row r="30" spans="2:32" ht="15.75" customHeight="1" x14ac:dyDescent="0.25"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28"/>
      <c r="AA30" s="28"/>
    </row>
    <row r="31" spans="2:32" ht="15.75" customHeight="1" x14ac:dyDescent="0.25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28"/>
      <c r="AA31" s="28"/>
    </row>
    <row r="32" spans="2:32" ht="15.75" customHeight="1" thickBot="1" x14ac:dyDescent="0.3"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28"/>
      <c r="AA32" s="28"/>
    </row>
    <row r="33" spans="2:27" ht="12.5" x14ac:dyDescent="0.25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142" t="s">
        <v>134</v>
      </c>
      <c r="O33" s="143"/>
      <c r="P33" s="143"/>
      <c r="Q33" s="143"/>
      <c r="R33" s="143"/>
      <c r="S33" s="143"/>
      <c r="T33" s="142" t="s">
        <v>127</v>
      </c>
      <c r="U33" s="143"/>
      <c r="V33" s="143"/>
      <c r="W33" s="143"/>
      <c r="X33" s="143"/>
      <c r="Y33" s="148"/>
      <c r="Z33" s="28"/>
      <c r="AA33" s="28"/>
    </row>
    <row r="34" spans="2:27" ht="12.5" x14ac:dyDescent="0.25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144"/>
      <c r="O34" s="145"/>
      <c r="P34" s="145"/>
      <c r="Q34" s="145"/>
      <c r="R34" s="145"/>
      <c r="S34" s="145"/>
      <c r="T34" s="144"/>
      <c r="U34" s="145"/>
      <c r="V34" s="145"/>
      <c r="W34" s="145"/>
      <c r="X34" s="145"/>
      <c r="Y34" s="149"/>
      <c r="Z34" s="28"/>
      <c r="AA34" s="28"/>
    </row>
    <row r="35" spans="2:27" ht="12.5" x14ac:dyDescent="0.25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144"/>
      <c r="O35" s="145"/>
      <c r="P35" s="145"/>
      <c r="Q35" s="145"/>
      <c r="R35" s="145"/>
      <c r="S35" s="145"/>
      <c r="T35" s="144"/>
      <c r="U35" s="145"/>
      <c r="V35" s="145"/>
      <c r="W35" s="145"/>
      <c r="X35" s="145"/>
      <c r="Y35" s="149"/>
      <c r="Z35" s="28"/>
      <c r="AA35" s="28"/>
    </row>
    <row r="36" spans="2:27" ht="12.5" x14ac:dyDescent="0.25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144"/>
      <c r="O36" s="145"/>
      <c r="P36" s="145"/>
      <c r="Q36" s="145"/>
      <c r="R36" s="145"/>
      <c r="S36" s="145"/>
      <c r="T36" s="144"/>
      <c r="U36" s="145"/>
      <c r="V36" s="145"/>
      <c r="W36" s="145"/>
      <c r="X36" s="145"/>
      <c r="Y36" s="149"/>
      <c r="Z36" s="28"/>
      <c r="AA36" s="28"/>
    </row>
    <row r="37" spans="2:27" ht="12.5" x14ac:dyDescent="0.25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144"/>
      <c r="O37" s="145"/>
      <c r="P37" s="145"/>
      <c r="Q37" s="145"/>
      <c r="R37" s="145"/>
      <c r="S37" s="145"/>
      <c r="T37" s="144"/>
      <c r="U37" s="145"/>
      <c r="V37" s="145"/>
      <c r="W37" s="145"/>
      <c r="X37" s="145"/>
      <c r="Y37" s="149"/>
      <c r="Z37" s="28"/>
      <c r="AA37" s="28"/>
    </row>
    <row r="38" spans="2:27" ht="12.5" x14ac:dyDescent="0.25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144"/>
      <c r="O38" s="145"/>
      <c r="P38" s="145"/>
      <c r="Q38" s="145"/>
      <c r="R38" s="145"/>
      <c r="S38" s="145"/>
      <c r="T38" s="144"/>
      <c r="U38" s="145"/>
      <c r="V38" s="145"/>
      <c r="W38" s="145"/>
      <c r="X38" s="145"/>
      <c r="Y38" s="149"/>
      <c r="Z38" s="28"/>
      <c r="AA38" s="28"/>
    </row>
    <row r="39" spans="2:27" ht="12.5" x14ac:dyDescent="0.25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144"/>
      <c r="O39" s="145"/>
      <c r="P39" s="145"/>
      <c r="Q39" s="145"/>
      <c r="R39" s="145"/>
      <c r="S39" s="145"/>
      <c r="T39" s="144"/>
      <c r="U39" s="145"/>
      <c r="V39" s="145"/>
      <c r="W39" s="145"/>
      <c r="X39" s="145"/>
      <c r="Y39" s="149"/>
      <c r="Z39" s="28"/>
      <c r="AA39" s="28"/>
    </row>
    <row r="40" spans="2:27" ht="12.5" x14ac:dyDescent="0.25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144"/>
      <c r="O40" s="145"/>
      <c r="P40" s="145"/>
      <c r="Q40" s="145"/>
      <c r="R40" s="145"/>
      <c r="S40" s="145"/>
      <c r="T40" s="144"/>
      <c r="U40" s="145"/>
      <c r="V40" s="145"/>
      <c r="W40" s="145"/>
      <c r="X40" s="145"/>
      <c r="Y40" s="149"/>
      <c r="Z40" s="28"/>
      <c r="AA40" s="28"/>
    </row>
    <row r="41" spans="2:27" ht="12.5" x14ac:dyDescent="0.25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144"/>
      <c r="O41" s="145"/>
      <c r="P41" s="145"/>
      <c r="Q41" s="145"/>
      <c r="R41" s="145"/>
      <c r="S41" s="145"/>
      <c r="T41" s="144"/>
      <c r="U41" s="145"/>
      <c r="V41" s="145"/>
      <c r="W41" s="145"/>
      <c r="X41" s="145"/>
      <c r="Y41" s="149"/>
      <c r="Z41" s="28"/>
      <c r="AA41" s="28"/>
    </row>
    <row r="42" spans="2:27" ht="12.5" x14ac:dyDescent="0.25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144"/>
      <c r="O42" s="145"/>
      <c r="P42" s="145"/>
      <c r="Q42" s="145"/>
      <c r="R42" s="145"/>
      <c r="S42" s="145"/>
      <c r="T42" s="144"/>
      <c r="U42" s="145"/>
      <c r="V42" s="145"/>
      <c r="W42" s="145"/>
      <c r="X42" s="145"/>
      <c r="Y42" s="149"/>
      <c r="Z42" s="28"/>
      <c r="AA42" s="28"/>
    </row>
    <row r="43" spans="2:27" ht="12.5" x14ac:dyDescent="0.25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144"/>
      <c r="O43" s="145"/>
      <c r="P43" s="145"/>
      <c r="Q43" s="145"/>
      <c r="R43" s="145"/>
      <c r="S43" s="145"/>
      <c r="T43" s="144"/>
      <c r="U43" s="145"/>
      <c r="V43" s="145"/>
      <c r="W43" s="145"/>
      <c r="X43" s="145"/>
      <c r="Y43" s="149"/>
      <c r="Z43" s="28"/>
      <c r="AA43" s="28"/>
    </row>
    <row r="44" spans="2:27" ht="12.5" x14ac:dyDescent="0.25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144"/>
      <c r="O44" s="145"/>
      <c r="P44" s="145"/>
      <c r="Q44" s="145"/>
      <c r="R44" s="145"/>
      <c r="S44" s="145"/>
      <c r="T44" s="144"/>
      <c r="U44" s="145"/>
      <c r="V44" s="145"/>
      <c r="W44" s="145"/>
      <c r="X44" s="145"/>
      <c r="Y44" s="149"/>
      <c r="Z44" s="28"/>
      <c r="AA44" s="28"/>
    </row>
    <row r="45" spans="2:27" ht="12.5" x14ac:dyDescent="0.25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144"/>
      <c r="O45" s="145"/>
      <c r="P45" s="145"/>
      <c r="Q45" s="145"/>
      <c r="R45" s="145"/>
      <c r="S45" s="145"/>
      <c r="T45" s="144"/>
      <c r="U45" s="145"/>
      <c r="V45" s="145"/>
      <c r="W45" s="145"/>
      <c r="X45" s="145"/>
      <c r="Y45" s="149"/>
      <c r="Z45" s="28"/>
      <c r="AA45" s="28"/>
    </row>
    <row r="46" spans="2:27" ht="12.5" x14ac:dyDescent="0.25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144"/>
      <c r="O46" s="145"/>
      <c r="P46" s="145"/>
      <c r="Q46" s="145"/>
      <c r="R46" s="145"/>
      <c r="S46" s="145"/>
      <c r="T46" s="144"/>
      <c r="U46" s="145"/>
      <c r="V46" s="145"/>
      <c r="W46" s="145"/>
      <c r="X46" s="145"/>
      <c r="Y46" s="149"/>
      <c r="Z46" s="28"/>
      <c r="AA46" s="28"/>
    </row>
    <row r="47" spans="2:27" ht="12.5" x14ac:dyDescent="0.25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144"/>
      <c r="O47" s="145"/>
      <c r="P47" s="145"/>
      <c r="Q47" s="145"/>
      <c r="R47" s="145"/>
      <c r="S47" s="145"/>
      <c r="T47" s="144"/>
      <c r="U47" s="145"/>
      <c r="V47" s="145"/>
      <c r="W47" s="145"/>
      <c r="X47" s="145"/>
      <c r="Y47" s="149"/>
      <c r="Z47" s="28"/>
      <c r="AA47" s="28"/>
    </row>
    <row r="48" spans="2:27" ht="12.5" x14ac:dyDescent="0.25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144"/>
      <c r="O48" s="145"/>
      <c r="P48" s="145"/>
      <c r="Q48" s="145"/>
      <c r="R48" s="145"/>
      <c r="S48" s="145"/>
      <c r="T48" s="144"/>
      <c r="U48" s="145"/>
      <c r="V48" s="145"/>
      <c r="W48" s="145"/>
      <c r="X48" s="145"/>
      <c r="Y48" s="149"/>
      <c r="Z48" s="28"/>
      <c r="AA48" s="28"/>
    </row>
    <row r="49" spans="2:27" ht="13" thickBot="1" x14ac:dyDescent="0.3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146"/>
      <c r="O49" s="147"/>
      <c r="P49" s="147"/>
      <c r="Q49" s="147"/>
      <c r="R49" s="147"/>
      <c r="S49" s="147"/>
      <c r="T49" s="146"/>
      <c r="U49" s="147"/>
      <c r="V49" s="147"/>
      <c r="W49" s="147"/>
      <c r="X49" s="147"/>
      <c r="Y49" s="150"/>
      <c r="Z49" s="28"/>
      <c r="AA49" s="28"/>
    </row>
    <row r="50" spans="2:27" ht="17.5" x14ac:dyDescent="0.25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30"/>
      <c r="O50" s="30"/>
      <c r="P50" s="30"/>
      <c r="Q50" s="30"/>
      <c r="R50" s="30"/>
      <c r="S50" s="30"/>
      <c r="T50" s="28"/>
      <c r="U50" s="28"/>
      <c r="V50" s="28"/>
      <c r="W50" s="28"/>
      <c r="X50" s="28"/>
      <c r="Y50" s="28"/>
      <c r="Z50" s="28"/>
      <c r="AA50" s="28"/>
    </row>
    <row r="51" spans="2:27" ht="15.75" customHeight="1" x14ac:dyDescent="0.25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2:27" ht="15.75" customHeight="1" x14ac:dyDescent="0.25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spans="2:27" ht="15.75" customHeight="1" x14ac:dyDescent="0.25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2:27" ht="15.75" customHeight="1" x14ac:dyDescent="0.25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2:27" ht="15.75" customHeight="1" x14ac:dyDescent="0.25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2:27" ht="15.75" customHeight="1" x14ac:dyDescent="0.25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</sheetData>
  <mergeCells count="14">
    <mergeCell ref="N1:Z3"/>
    <mergeCell ref="N33:S49"/>
    <mergeCell ref="T33:Y49"/>
    <mergeCell ref="N10:P11"/>
    <mergeCell ref="Q10:S11"/>
    <mergeCell ref="T10:V11"/>
    <mergeCell ref="W10:Y11"/>
    <mergeCell ref="N12:P12"/>
    <mergeCell ref="Q12:S12"/>
    <mergeCell ref="T12:V12"/>
    <mergeCell ref="W12:Y12"/>
    <mergeCell ref="N13:Y16"/>
    <mergeCell ref="N17:Y32"/>
    <mergeCell ref="Q4:W4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A4D1B6-703C-4A3D-A58F-65250042ED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Project Assumptions</vt:lpstr>
      <vt:lpstr>00_Raw_Data</vt:lpstr>
      <vt:lpstr>01_Data_Audit</vt:lpstr>
      <vt:lpstr>02_Prepared_Data</vt:lpstr>
      <vt:lpstr>03_Lookup</vt:lpstr>
      <vt:lpstr>04_Analysis</vt:lpstr>
      <vt:lpstr>05_Dashboard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</dc:creator>
  <cp:lastModifiedBy>Andrea Porras</cp:lastModifiedBy>
  <cp:lastPrinted>2026-08-03T17:57:45Z</cp:lastPrinted>
  <dcterms:created xsi:type="dcterms:W3CDTF">2026-07-29T02:27:18Z</dcterms:created>
  <dcterms:modified xsi:type="dcterms:W3CDTF">2026-08-18T21:31:54Z</dcterms:modified>
</cp:coreProperties>
</file>